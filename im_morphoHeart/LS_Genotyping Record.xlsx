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 JSP\Dropbox\Dropbox_Juliana\PhD_Thesis\Data_ongoing\LS_ongoing\morphoHeart\im_morphoHeart\"/>
    </mc:Choice>
  </mc:AlternateContent>
  <bookViews>
    <workbookView xWindow="0" yWindow="0" windowWidth="28800" windowHeight="12450"/>
  </bookViews>
  <sheets>
    <sheet name="LS09" sheetId="7" r:id="rId1"/>
    <sheet name="Formatx4x1gt" sheetId="1" r:id="rId2"/>
    <sheet name="Formatx4x2gt" sheetId="2" r:id="rId3"/>
    <sheet name="All" sheetId="3" r:id="rId4"/>
    <sheet name="RAW_All" sheetId="4" r:id="rId5"/>
    <sheet name="All_Genotype" sheetId="5" r:id="rId6"/>
  </sheets>
  <definedNames>
    <definedName name="_xlnm._FilterDatabase" localSheetId="3" hidden="1">All!$D$6:$M$36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F7" i="3"/>
  <c r="G7" i="3"/>
  <c r="D2" i="4" s="1"/>
  <c r="H7" i="3"/>
  <c r="I7" i="3"/>
  <c r="J7" i="3"/>
  <c r="K7" i="3"/>
  <c r="L7" i="3"/>
  <c r="M7" i="3"/>
  <c r="N7" i="3"/>
  <c r="O7" i="3"/>
  <c r="P7" i="3"/>
  <c r="D7" i="3"/>
  <c r="Q1" i="7"/>
  <c r="U1" i="7"/>
  <c r="C3" i="7"/>
  <c r="Y4" i="7" s="1"/>
  <c r="AN3" i="7"/>
  <c r="Z4" i="7"/>
  <c r="AA4" i="7"/>
  <c r="AC4" i="7"/>
  <c r="AI4" i="7"/>
  <c r="AJ4" i="7"/>
  <c r="AK4" i="7"/>
  <c r="AN4" i="7"/>
  <c r="U5" i="7"/>
  <c r="V5" i="7"/>
  <c r="AN5" i="7" a="1"/>
  <c r="AN11" i="7" s="1"/>
  <c r="B10" i="5" s="1"/>
  <c r="Q6" i="7"/>
  <c r="R6" i="7"/>
  <c r="S6" i="7"/>
  <c r="U6" i="7"/>
  <c r="V6" i="7"/>
  <c r="Q7" i="7"/>
  <c r="R7" i="7"/>
  <c r="S7" i="7"/>
  <c r="U7" i="7"/>
  <c r="V7" i="7"/>
  <c r="AN7" i="7"/>
  <c r="U8" i="7"/>
  <c r="V8" i="7"/>
  <c r="AN8" i="7"/>
  <c r="B7" i="5" s="1"/>
  <c r="Q9" i="7"/>
  <c r="U9" i="7" s="1"/>
  <c r="R9" i="7"/>
  <c r="S9" i="7"/>
  <c r="V9" i="7"/>
  <c r="Q10" i="7"/>
  <c r="R10" i="7"/>
  <c r="S10" i="7"/>
  <c r="U10" i="7"/>
  <c r="V10" i="7"/>
  <c r="U11" i="7"/>
  <c r="V11" i="7"/>
  <c r="Q12" i="7"/>
  <c r="U12" i="7" s="1"/>
  <c r="R12" i="7"/>
  <c r="S12" i="7"/>
  <c r="V12" i="7"/>
  <c r="H13" i="7"/>
  <c r="E13" i="7" s="1"/>
  <c r="AD4" i="7" s="1"/>
  <c r="J13" i="7"/>
  <c r="AF4" i="7" s="1"/>
  <c r="L13" i="7"/>
  <c r="AG4" i="7" s="1"/>
  <c r="Q13" i="7"/>
  <c r="R13" i="7"/>
  <c r="S13" i="7"/>
  <c r="U13" i="7"/>
  <c r="V13" i="7"/>
  <c r="U14" i="7"/>
  <c r="V14" i="7"/>
  <c r="Q15" i="7"/>
  <c r="U15" i="7" s="1"/>
  <c r="R15" i="7"/>
  <c r="S15" i="7"/>
  <c r="V15" i="7"/>
  <c r="AN15" i="7" a="1"/>
  <c r="AN19" i="7" s="1"/>
  <c r="B18" i="5" s="1"/>
  <c r="AN15" i="7"/>
  <c r="B14" i="5" s="1"/>
  <c r="Q16" i="7"/>
  <c r="R16" i="7"/>
  <c r="S16" i="7"/>
  <c r="U16" i="7"/>
  <c r="V16" i="7"/>
  <c r="U17" i="7"/>
  <c r="V17" i="7"/>
  <c r="Q18" i="7"/>
  <c r="U18" i="7" s="1"/>
  <c r="R18" i="7"/>
  <c r="S18" i="7"/>
  <c r="V18" i="7"/>
  <c r="AN18" i="7"/>
  <c r="B17" i="5" s="1"/>
  <c r="Q19" i="7"/>
  <c r="U19" i="7" s="1"/>
  <c r="R19" i="7"/>
  <c r="S19" i="7"/>
  <c r="V19" i="7"/>
  <c r="Q20" i="7"/>
  <c r="U20" i="7" s="1"/>
  <c r="R20" i="7"/>
  <c r="S20" i="7"/>
  <c r="V20" i="7"/>
  <c r="Q21" i="7"/>
  <c r="R21" i="7"/>
  <c r="S21" i="7"/>
  <c r="U21" i="7"/>
  <c r="V21" i="7"/>
  <c r="U22" i="7"/>
  <c r="V22" i="7"/>
  <c r="Q23" i="7"/>
  <c r="R23" i="7"/>
  <c r="S23" i="7"/>
  <c r="U23" i="7"/>
  <c r="V23" i="7"/>
  <c r="Q24" i="7"/>
  <c r="R24" i="7"/>
  <c r="S24" i="7"/>
  <c r="U24" i="7"/>
  <c r="V24" i="7"/>
  <c r="AN24" i="7"/>
  <c r="B23" i="5" s="1"/>
  <c r="Q25" i="7"/>
  <c r="R25" i="7"/>
  <c r="S25" i="7"/>
  <c r="U25" i="7"/>
  <c r="V25" i="7"/>
  <c r="AN25" i="7" a="1"/>
  <c r="AN26" i="7" s="1"/>
  <c r="B25" i="5" s="1"/>
  <c r="AN25" i="7"/>
  <c r="B24" i="5" s="1"/>
  <c r="AN32" i="7"/>
  <c r="B31" i="5" s="1"/>
  <c r="AN33" i="7"/>
  <c r="B32" i="5" s="1"/>
  <c r="AN34" i="7"/>
  <c r="B33" i="5" s="1"/>
  <c r="AN35" i="7" a="1"/>
  <c r="AN38" i="7" s="1"/>
  <c r="B37" i="5" s="1"/>
  <c r="AN37" i="7"/>
  <c r="B36" i="5" s="1"/>
  <c r="AN39" i="7"/>
  <c r="B38" i="5" s="1"/>
  <c r="B6" i="5"/>
  <c r="B3" i="5"/>
  <c r="B2" i="5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B29" i="4"/>
  <c r="A29" i="4"/>
  <c r="E28" i="4"/>
  <c r="D28" i="4"/>
  <c r="D27" i="4"/>
  <c r="C27" i="4"/>
  <c r="A27" i="4"/>
  <c r="E25" i="4"/>
  <c r="D25" i="4"/>
  <c r="C25" i="4"/>
  <c r="C24" i="4"/>
  <c r="B24" i="4"/>
  <c r="A24" i="4"/>
  <c r="E23" i="4"/>
  <c r="D23" i="4"/>
  <c r="C23" i="4"/>
  <c r="B23" i="4"/>
  <c r="A23" i="4"/>
  <c r="E22" i="4"/>
  <c r="D22" i="4"/>
  <c r="C22" i="4"/>
  <c r="B21" i="4"/>
  <c r="A21" i="4"/>
  <c r="A20" i="4"/>
  <c r="E19" i="4"/>
  <c r="D19" i="4"/>
  <c r="C19" i="4"/>
  <c r="B18" i="4"/>
  <c r="A18" i="4"/>
  <c r="E17" i="4"/>
  <c r="D17" i="4"/>
  <c r="C17" i="4"/>
  <c r="B17" i="4"/>
  <c r="A17" i="4"/>
  <c r="E16" i="4"/>
  <c r="B16" i="4"/>
  <c r="A16" i="4"/>
  <c r="E15" i="4"/>
  <c r="C15" i="4"/>
  <c r="E14" i="4"/>
  <c r="D14" i="4"/>
  <c r="C14" i="4"/>
  <c r="B14" i="4"/>
  <c r="A14" i="4"/>
  <c r="B13" i="4"/>
  <c r="E12" i="4"/>
  <c r="E11" i="4"/>
  <c r="D11" i="4"/>
  <c r="C11" i="4"/>
  <c r="B11" i="4"/>
  <c r="A11" i="4"/>
  <c r="C10" i="4"/>
  <c r="A10" i="4"/>
  <c r="D9" i="4"/>
  <c r="C9" i="4"/>
  <c r="C8" i="4"/>
  <c r="B8" i="4"/>
  <c r="A8" i="4"/>
  <c r="E7" i="4"/>
  <c r="E6" i="4"/>
  <c r="D6" i="4"/>
  <c r="C6" i="4"/>
  <c r="C5" i="4"/>
  <c r="B5" i="4"/>
  <c r="A5" i="4"/>
  <c r="E4" i="4"/>
  <c r="D4" i="4"/>
  <c r="A4" i="4"/>
  <c r="D3" i="4"/>
  <c r="B3" i="4"/>
  <c r="A3" i="4"/>
  <c r="E2" i="4"/>
  <c r="C2" i="4"/>
  <c r="B2" i="4"/>
  <c r="A2" i="4"/>
  <c r="E1" i="4"/>
  <c r="B1" i="4"/>
  <c r="A1" i="4"/>
  <c r="A30" i="4"/>
  <c r="E29" i="4"/>
  <c r="D29" i="4"/>
  <c r="C29" i="4"/>
  <c r="C28" i="4"/>
  <c r="B28" i="4"/>
  <c r="A28" i="4"/>
  <c r="E27" i="4"/>
  <c r="B27" i="4"/>
  <c r="E26" i="4"/>
  <c r="D26" i="4"/>
  <c r="C26" i="4"/>
  <c r="B26" i="4"/>
  <c r="A26" i="4"/>
  <c r="B25" i="4"/>
  <c r="A25" i="4"/>
  <c r="E24" i="4"/>
  <c r="D24" i="4"/>
  <c r="B22" i="4"/>
  <c r="A22" i="4"/>
  <c r="E21" i="4"/>
  <c r="D21" i="4"/>
  <c r="C21" i="4"/>
  <c r="E20" i="4"/>
  <c r="D20" i="4"/>
  <c r="C20" i="4"/>
  <c r="B20" i="4"/>
  <c r="B19" i="4"/>
  <c r="A19" i="4"/>
  <c r="E18" i="4"/>
  <c r="D18" i="4"/>
  <c r="C18" i="4"/>
  <c r="D16" i="4"/>
  <c r="C16" i="4"/>
  <c r="D15" i="4"/>
  <c r="B15" i="4"/>
  <c r="A15" i="4"/>
  <c r="E13" i="4"/>
  <c r="D13" i="4"/>
  <c r="C13" i="4"/>
  <c r="A13" i="4"/>
  <c r="D12" i="4"/>
  <c r="C12" i="4"/>
  <c r="B12" i="4"/>
  <c r="A12" i="4"/>
  <c r="E10" i="4"/>
  <c r="D10" i="4"/>
  <c r="B10" i="4"/>
  <c r="E9" i="4"/>
  <c r="B9" i="4"/>
  <c r="A9" i="4"/>
  <c r="E8" i="4"/>
  <c r="D8" i="4"/>
  <c r="D7" i="4"/>
  <c r="C7" i="4"/>
  <c r="B7" i="4"/>
  <c r="A7" i="4"/>
  <c r="B6" i="4"/>
  <c r="A6" i="4"/>
  <c r="P3" i="3"/>
  <c r="O3" i="3"/>
  <c r="E5" i="4"/>
  <c r="D5" i="4"/>
  <c r="N3" i="3"/>
  <c r="C4" i="4"/>
  <c r="B4" i="4"/>
  <c r="L3" i="3"/>
  <c r="K3" i="3"/>
  <c r="J3" i="3"/>
  <c r="E3" i="4"/>
  <c r="C3" i="4"/>
  <c r="V44" i="2"/>
  <c r="S44" i="2"/>
  <c r="V43" i="2"/>
  <c r="S43" i="2"/>
  <c r="R43" i="2"/>
  <c r="R44" i="2" s="1"/>
  <c r="Q43" i="2"/>
  <c r="Q44" i="2" s="1"/>
  <c r="U44" i="2" s="1"/>
  <c r="S42" i="2"/>
  <c r="R42" i="2"/>
  <c r="Q42" i="2"/>
  <c r="U42" i="2" s="1"/>
  <c r="U41" i="2"/>
  <c r="V40" i="2"/>
  <c r="U40" i="2"/>
  <c r="Q40" i="2"/>
  <c r="S39" i="2"/>
  <c r="S40" i="2" s="1"/>
  <c r="R39" i="2"/>
  <c r="R40" i="2" s="1"/>
  <c r="Q39" i="2"/>
  <c r="U39" i="2" s="1"/>
  <c r="S38" i="2"/>
  <c r="R38" i="2"/>
  <c r="Q38" i="2"/>
  <c r="U38" i="2" s="1"/>
  <c r="V37" i="2"/>
  <c r="U37" i="2"/>
  <c r="V36" i="2"/>
  <c r="AO35" i="2"/>
  <c r="AO35" i="2" a="1"/>
  <c r="AO36" i="2" s="1"/>
  <c r="AN44" i="2"/>
  <c r="AN43" i="2"/>
  <c r="AN41" i="2"/>
  <c r="AN39" i="2"/>
  <c r="AN38" i="2"/>
  <c r="AN37" i="2"/>
  <c r="AN36" i="2"/>
  <c r="AN35" i="2" a="1"/>
  <c r="AN42" i="2" s="1"/>
  <c r="S35" i="2"/>
  <c r="S36" i="2" s="1"/>
  <c r="R35" i="2"/>
  <c r="R36" i="2" s="1"/>
  <c r="Q35" i="2"/>
  <c r="Q36" i="2" s="1"/>
  <c r="U36" i="2" s="1"/>
  <c r="V34" i="2"/>
  <c r="U34" i="2"/>
  <c r="S34" i="2"/>
  <c r="R34" i="2"/>
  <c r="Q34" i="2"/>
  <c r="U33" i="2"/>
  <c r="V32" i="2"/>
  <c r="S31" i="2"/>
  <c r="S32" i="2" s="1"/>
  <c r="R31" i="2"/>
  <c r="R32" i="2" s="1"/>
  <c r="Q31" i="2"/>
  <c r="U31" i="2" s="1"/>
  <c r="S30" i="2"/>
  <c r="R30" i="2"/>
  <c r="Q30" i="2"/>
  <c r="U30" i="2" s="1"/>
  <c r="U29" i="2"/>
  <c r="V27" i="2"/>
  <c r="U26" i="2"/>
  <c r="S26" i="2"/>
  <c r="S27" i="2" s="1"/>
  <c r="S28" i="2" s="1"/>
  <c r="R26" i="2"/>
  <c r="R27" i="2" s="1"/>
  <c r="R28" i="2" s="1"/>
  <c r="Q26" i="2"/>
  <c r="Q27" i="2" s="1"/>
  <c r="AO34" i="2"/>
  <c r="AO32" i="2"/>
  <c r="AO31" i="2"/>
  <c r="AO30" i="2"/>
  <c r="AO29" i="2"/>
  <c r="AO28" i="2"/>
  <c r="AO27" i="2"/>
  <c r="AO26" i="2"/>
  <c r="AO25" i="2"/>
  <c r="AO25" i="2" a="1"/>
  <c r="AO33" i="2" s="1"/>
  <c r="AN25" i="2" a="1"/>
  <c r="AN26" i="2" s="1"/>
  <c r="V25" i="2"/>
  <c r="U25" i="2"/>
  <c r="V23" i="2"/>
  <c r="S23" i="2"/>
  <c r="S24" i="2" s="1"/>
  <c r="L23" i="2"/>
  <c r="J23" i="2"/>
  <c r="H23" i="2"/>
  <c r="E23" i="2" s="1"/>
  <c r="V22" i="2"/>
  <c r="U22" i="2"/>
  <c r="S22" i="2"/>
  <c r="R22" i="2"/>
  <c r="R23" i="2" s="1"/>
  <c r="R24" i="2" s="1"/>
  <c r="Q22" i="2"/>
  <c r="Q23" i="2" s="1"/>
  <c r="U21" i="2"/>
  <c r="V20" i="2"/>
  <c r="S19" i="2"/>
  <c r="S20" i="2" s="1"/>
  <c r="R19" i="2"/>
  <c r="R20" i="2" s="1"/>
  <c r="Q19" i="2"/>
  <c r="U19" i="2" s="1"/>
  <c r="S18" i="2"/>
  <c r="R18" i="2"/>
  <c r="Q18" i="2"/>
  <c r="U18" i="2" s="1"/>
  <c r="U17" i="2"/>
  <c r="V16" i="2"/>
  <c r="AO23" i="2"/>
  <c r="AO22" i="2"/>
  <c r="AO21" i="2"/>
  <c r="AO15" i="2" a="1"/>
  <c r="AO24" i="2" s="1"/>
  <c r="AN24" i="2"/>
  <c r="AN23" i="2"/>
  <c r="AN22" i="2"/>
  <c r="AN20" i="2"/>
  <c r="AN19" i="2"/>
  <c r="AN18" i="2"/>
  <c r="AN17" i="2"/>
  <c r="AN16" i="2"/>
  <c r="AN15" i="2"/>
  <c r="AN15" i="2" a="1"/>
  <c r="AN21" i="2" s="1"/>
  <c r="V15" i="2"/>
  <c r="R15" i="2"/>
  <c r="R16" i="2" s="1"/>
  <c r="Q15" i="2"/>
  <c r="Q16" i="2" s="1"/>
  <c r="U16" i="2" s="1"/>
  <c r="V14" i="2"/>
  <c r="S14" i="2"/>
  <c r="S15" i="2" s="1"/>
  <c r="S16" i="2" s="1"/>
  <c r="R14" i="2"/>
  <c r="Q14" i="2"/>
  <c r="U14" i="2" s="1"/>
  <c r="U13" i="2"/>
  <c r="L13" i="2"/>
  <c r="J13" i="2"/>
  <c r="H13" i="2"/>
  <c r="E13" i="2" s="1"/>
  <c r="AD4" i="2" s="1"/>
  <c r="V12" i="2"/>
  <c r="V11" i="2"/>
  <c r="S10" i="2"/>
  <c r="S11" i="2" s="1"/>
  <c r="S12" i="2" s="1"/>
  <c r="R10" i="2"/>
  <c r="R11" i="2" s="1"/>
  <c r="R12" i="2" s="1"/>
  <c r="Q10" i="2"/>
  <c r="Q11" i="2" s="1"/>
  <c r="U9" i="2"/>
  <c r="Q8" i="2"/>
  <c r="U8" i="2" s="1"/>
  <c r="Q7" i="2"/>
  <c r="U7" i="2" s="1"/>
  <c r="V6" i="2"/>
  <c r="U6" i="2"/>
  <c r="S6" i="2"/>
  <c r="S7" i="2" s="1"/>
  <c r="S8" i="2" s="1"/>
  <c r="R6" i="2"/>
  <c r="R7" i="2" s="1"/>
  <c r="R8" i="2" s="1"/>
  <c r="Q6" i="2"/>
  <c r="AO14" i="2"/>
  <c r="AO10" i="2"/>
  <c r="AO9" i="2"/>
  <c r="AO5" i="2" a="1"/>
  <c r="AO5" i="2" s="1"/>
  <c r="AN14" i="2"/>
  <c r="AN13" i="2"/>
  <c r="AN12" i="2"/>
  <c r="AN11" i="2"/>
  <c r="AN5" i="2" a="1"/>
  <c r="AN10" i="2" s="1"/>
  <c r="U5" i="2"/>
  <c r="AO4" i="2"/>
  <c r="AN4" i="2"/>
  <c r="AK4" i="2"/>
  <c r="AJ4" i="2"/>
  <c r="AI4" i="2"/>
  <c r="AC4" i="2"/>
  <c r="AA4" i="2"/>
  <c r="Z4" i="2"/>
  <c r="Y4" i="2"/>
  <c r="AO3" i="2"/>
  <c r="AN3" i="2"/>
  <c r="C3" i="2"/>
  <c r="U1" i="2"/>
  <c r="Q1" i="2"/>
  <c r="V19" i="2" s="1"/>
  <c r="V44" i="1"/>
  <c r="R44" i="1"/>
  <c r="R43" i="1"/>
  <c r="Q43" i="1"/>
  <c r="Q44" i="1" s="1"/>
  <c r="U44" i="1" s="1"/>
  <c r="S42" i="1"/>
  <c r="S43" i="1" s="1"/>
  <c r="S44" i="1" s="1"/>
  <c r="R42" i="1"/>
  <c r="Q42" i="1"/>
  <c r="U42" i="1" s="1"/>
  <c r="U41" i="1"/>
  <c r="V40" i="1"/>
  <c r="S40" i="1"/>
  <c r="S39" i="1"/>
  <c r="R39" i="1"/>
  <c r="R40" i="1" s="1"/>
  <c r="Q39" i="1"/>
  <c r="Q40" i="1" s="1"/>
  <c r="U40" i="1" s="1"/>
  <c r="S38" i="1"/>
  <c r="R38" i="1"/>
  <c r="Q38" i="1"/>
  <c r="U38" i="1" s="1"/>
  <c r="V37" i="1"/>
  <c r="U37" i="1"/>
  <c r="V36" i="1"/>
  <c r="AN35" i="1" a="1"/>
  <c r="AN37" i="1" s="1"/>
  <c r="V35" i="1"/>
  <c r="U34" i="1"/>
  <c r="S34" i="1"/>
  <c r="S35" i="1" s="1"/>
  <c r="S36" i="1" s="1"/>
  <c r="R34" i="1"/>
  <c r="R35" i="1" s="1"/>
  <c r="R36" i="1" s="1"/>
  <c r="Q34" i="1"/>
  <c r="Q35" i="1" s="1"/>
  <c r="U33" i="1"/>
  <c r="V31" i="1"/>
  <c r="U30" i="1"/>
  <c r="S30" i="1"/>
  <c r="S31" i="1" s="1"/>
  <c r="S32" i="1" s="1"/>
  <c r="R30" i="1"/>
  <c r="R31" i="1" s="1"/>
  <c r="R32" i="1" s="1"/>
  <c r="Q30" i="1"/>
  <c r="Q31" i="1" s="1"/>
  <c r="U29" i="1"/>
  <c r="Q28" i="1"/>
  <c r="U28" i="1" s="1"/>
  <c r="U27" i="1"/>
  <c r="Q27" i="1"/>
  <c r="U26" i="1"/>
  <c r="S26" i="1"/>
  <c r="S27" i="1" s="1"/>
  <c r="S28" i="1" s="1"/>
  <c r="R26" i="1"/>
  <c r="R27" i="1" s="1"/>
  <c r="R28" i="1" s="1"/>
  <c r="Q26" i="1"/>
  <c r="AN33" i="1"/>
  <c r="AN32" i="1"/>
  <c r="AN31" i="1"/>
  <c r="AN30" i="1"/>
  <c r="AN29" i="1"/>
  <c r="AN27" i="1"/>
  <c r="AN25" i="1" a="1"/>
  <c r="AN34" i="1" s="1"/>
  <c r="U25" i="1"/>
  <c r="V23" i="1"/>
  <c r="S23" i="1"/>
  <c r="S24" i="1" s="1"/>
  <c r="R23" i="1"/>
  <c r="R24" i="1" s="1"/>
  <c r="S22" i="1"/>
  <c r="R22" i="1"/>
  <c r="Q22" i="1"/>
  <c r="Q23" i="1" s="1"/>
  <c r="U21" i="1"/>
  <c r="V19" i="1"/>
  <c r="S19" i="1"/>
  <c r="S20" i="1" s="1"/>
  <c r="S18" i="1"/>
  <c r="R18" i="1"/>
  <c r="R19" i="1" s="1"/>
  <c r="R20" i="1" s="1"/>
  <c r="Q18" i="1"/>
  <c r="Q19" i="1" s="1"/>
  <c r="U17" i="1"/>
  <c r="Q16" i="1"/>
  <c r="U16" i="1" s="1"/>
  <c r="AN24" i="1"/>
  <c r="AN23" i="1"/>
  <c r="AN21" i="1"/>
  <c r="AN18" i="1"/>
  <c r="AN17" i="1"/>
  <c r="AN16" i="1"/>
  <c r="AN15" i="1" a="1"/>
  <c r="AN22" i="1" s="1"/>
  <c r="S15" i="1"/>
  <c r="S16" i="1" s="1"/>
  <c r="R15" i="1"/>
  <c r="R16" i="1" s="1"/>
  <c r="Q15" i="1"/>
  <c r="U15" i="1" s="1"/>
  <c r="V14" i="1"/>
  <c r="U14" i="1"/>
  <c r="S14" i="1"/>
  <c r="R14" i="1"/>
  <c r="Q14" i="1"/>
  <c r="U13" i="1"/>
  <c r="L13" i="1"/>
  <c r="AG4" i="1" s="1"/>
  <c r="J13" i="1"/>
  <c r="AF4" i="1" s="1"/>
  <c r="H13" i="1"/>
  <c r="AE4" i="1" s="1"/>
  <c r="V11" i="1"/>
  <c r="S10" i="1"/>
  <c r="S11" i="1" s="1"/>
  <c r="S12" i="1" s="1"/>
  <c r="R10" i="1"/>
  <c r="R11" i="1" s="1"/>
  <c r="R12" i="1" s="1"/>
  <c r="Q10" i="1"/>
  <c r="Q11" i="1" s="1"/>
  <c r="U9" i="1"/>
  <c r="V7" i="1"/>
  <c r="U6" i="1"/>
  <c r="S6" i="1"/>
  <c r="S7" i="1" s="1"/>
  <c r="S8" i="1" s="1"/>
  <c r="R6" i="1"/>
  <c r="R7" i="1" s="1"/>
  <c r="R8" i="1" s="1"/>
  <c r="Q6" i="1"/>
  <c r="Q7" i="1" s="1"/>
  <c r="AN12" i="1"/>
  <c r="AN11" i="1"/>
  <c r="AN10" i="1"/>
  <c r="AN9" i="1"/>
  <c r="AN8" i="1"/>
  <c r="AN6" i="1"/>
  <c r="AN5" i="1" a="1"/>
  <c r="AN13" i="1" s="1"/>
  <c r="U5" i="1"/>
  <c r="AN4" i="1"/>
  <c r="AK4" i="1"/>
  <c r="AJ4" i="1"/>
  <c r="AI4" i="1"/>
  <c r="AC4" i="1"/>
  <c r="AA4" i="1"/>
  <c r="Z4" i="1"/>
  <c r="Y4" i="1"/>
  <c r="AN3" i="1"/>
  <c r="C3" i="1"/>
  <c r="U1" i="1"/>
  <c r="Q1" i="1"/>
  <c r="V32" i="1" s="1"/>
  <c r="AN22" i="7" l="1"/>
  <c r="B21" i="5" s="1"/>
  <c r="AN36" i="7"/>
  <c r="B35" i="5" s="1"/>
  <c r="AN10" i="7"/>
  <c r="B9" i="5" s="1"/>
  <c r="AN35" i="7"/>
  <c r="B34" i="5" s="1"/>
  <c r="AN21" i="7"/>
  <c r="B20" i="5" s="1"/>
  <c r="AN6" i="7"/>
  <c r="B5" i="5" s="1"/>
  <c r="AE4" i="7"/>
  <c r="AN31" i="7"/>
  <c r="B30" i="5" s="1"/>
  <c r="AN9" i="7"/>
  <c r="B8" i="5" s="1"/>
  <c r="AN30" i="7"/>
  <c r="B29" i="5" s="1"/>
  <c r="AN12" i="7"/>
  <c r="B11" i="5" s="1"/>
  <c r="AN44" i="7"/>
  <c r="B43" i="5" s="1"/>
  <c r="AN29" i="7"/>
  <c r="B28" i="5" s="1"/>
  <c r="AN20" i="7"/>
  <c r="B19" i="5" s="1"/>
  <c r="AN43" i="7"/>
  <c r="B42" i="5" s="1"/>
  <c r="AN28" i="7"/>
  <c r="B27" i="5" s="1"/>
  <c r="AN23" i="7"/>
  <c r="B22" i="5" s="1"/>
  <c r="AN42" i="7"/>
  <c r="B41" i="5" s="1"/>
  <c r="AN27" i="7"/>
  <c r="B26" i="5" s="1"/>
  <c r="AN17" i="7"/>
  <c r="B16" i="5" s="1"/>
  <c r="AN14" i="7"/>
  <c r="B13" i="5" s="1"/>
  <c r="AN41" i="7"/>
  <c r="B40" i="5" s="1"/>
  <c r="AN5" i="7"/>
  <c r="B4" i="5" s="1"/>
  <c r="AN40" i="7"/>
  <c r="B39" i="5" s="1"/>
  <c r="AN16" i="7"/>
  <c r="B15" i="5" s="1"/>
  <c r="AN13" i="7"/>
  <c r="B12" i="5" s="1"/>
  <c r="M3" i="3"/>
  <c r="Q12" i="1"/>
  <c r="U12" i="1" s="1"/>
  <c r="U11" i="1"/>
  <c r="Q28" i="2"/>
  <c r="U28" i="2" s="1"/>
  <c r="U27" i="2"/>
  <c r="Q12" i="2"/>
  <c r="U12" i="2" s="1"/>
  <c r="U11" i="2"/>
  <c r="Q32" i="1"/>
  <c r="U32" i="1" s="1"/>
  <c r="U31" i="1"/>
  <c r="U19" i="1"/>
  <c r="Q20" i="1"/>
  <c r="U20" i="1" s="1"/>
  <c r="U7" i="1"/>
  <c r="Q8" i="1"/>
  <c r="U8" i="1" s="1"/>
  <c r="Q36" i="1"/>
  <c r="U36" i="1" s="1"/>
  <c r="U35" i="1"/>
  <c r="Q24" i="2"/>
  <c r="U24" i="2" s="1"/>
  <c r="U23" i="2"/>
  <c r="U23" i="1"/>
  <c r="Q24" i="1"/>
  <c r="U24" i="1" s="1"/>
  <c r="Q3" i="3"/>
  <c r="AN27" i="2"/>
  <c r="V31" i="2"/>
  <c r="U35" i="2"/>
  <c r="AO37" i="2"/>
  <c r="AN14" i="1"/>
  <c r="V12" i="1"/>
  <c r="V15" i="1"/>
  <c r="V16" i="1"/>
  <c r="V29" i="1"/>
  <c r="AN38" i="1"/>
  <c r="AO6" i="2"/>
  <c r="Q20" i="2"/>
  <c r="U20" i="2" s="1"/>
  <c r="AN28" i="2"/>
  <c r="V28" i="2"/>
  <c r="Q32" i="2"/>
  <c r="U32" i="2" s="1"/>
  <c r="V35" i="2"/>
  <c r="AO38" i="2"/>
  <c r="AN25" i="2"/>
  <c r="V28" i="1"/>
  <c r="AN36" i="1"/>
  <c r="V41" i="1"/>
  <c r="V9" i="1"/>
  <c r="E13" i="1"/>
  <c r="AD4" i="1" s="1"/>
  <c r="V20" i="1"/>
  <c r="V33" i="1"/>
  <c r="AN39" i="1"/>
  <c r="AO7" i="2"/>
  <c r="AN29" i="2"/>
  <c r="AO39" i="2"/>
  <c r="AN15" i="1"/>
  <c r="V17" i="1"/>
  <c r="V24" i="1"/>
  <c r="AN40" i="1"/>
  <c r="V38" i="1"/>
  <c r="V5" i="2"/>
  <c r="AO8" i="2"/>
  <c r="V7" i="2"/>
  <c r="AN30" i="2"/>
  <c r="AN35" i="2"/>
  <c r="AO40" i="2"/>
  <c r="V38" i="2"/>
  <c r="V42" i="1"/>
  <c r="AN31" i="2"/>
  <c r="AO41" i="2"/>
  <c r="V42" i="2"/>
  <c r="AN35" i="1"/>
  <c r="V21" i="1"/>
  <c r="AN42" i="1"/>
  <c r="U10" i="1"/>
  <c r="V30" i="1"/>
  <c r="AN44" i="1"/>
  <c r="V33" i="2"/>
  <c r="V25" i="1"/>
  <c r="V26" i="1"/>
  <c r="AN5" i="2"/>
  <c r="AN32" i="2"/>
  <c r="AO42" i="2"/>
  <c r="V5" i="1"/>
  <c r="V6" i="1"/>
  <c r="AN43" i="1"/>
  <c r="AN6" i="2"/>
  <c r="AO11" i="2"/>
  <c r="AO15" i="2"/>
  <c r="V17" i="2"/>
  <c r="AN33" i="2"/>
  <c r="V29" i="2"/>
  <c r="AO43" i="2"/>
  <c r="V10" i="1"/>
  <c r="V13" i="1"/>
  <c r="AN19" i="1"/>
  <c r="U18" i="1"/>
  <c r="AN25" i="1"/>
  <c r="V34" i="1"/>
  <c r="U39" i="1"/>
  <c r="AN7" i="2"/>
  <c r="AO12" i="2"/>
  <c r="AO16" i="2"/>
  <c r="V21" i="2"/>
  <c r="AN34" i="2"/>
  <c r="V26" i="2"/>
  <c r="AO44" i="2"/>
  <c r="AN5" i="1"/>
  <c r="AN20" i="1"/>
  <c r="V18" i="1"/>
  <c r="U22" i="1"/>
  <c r="AN26" i="1"/>
  <c r="V39" i="1"/>
  <c r="U43" i="1"/>
  <c r="AN8" i="2"/>
  <c r="AO13" i="2"/>
  <c r="V8" i="2"/>
  <c r="U15" i="2"/>
  <c r="AO17" i="2"/>
  <c r="AN40" i="2"/>
  <c r="V39" i="2"/>
  <c r="U43" i="2"/>
  <c r="V22" i="1"/>
  <c r="V43" i="1"/>
  <c r="AN9" i="2"/>
  <c r="AN41" i="1"/>
  <c r="AO18" i="2"/>
  <c r="AN7" i="1"/>
  <c r="AN28" i="1"/>
  <c r="V27" i="1"/>
  <c r="V9" i="2"/>
  <c r="AO19" i="2"/>
  <c r="V24" i="2"/>
  <c r="AO20" i="2"/>
  <c r="V18" i="2"/>
  <c r="V30" i="2"/>
  <c r="U10" i="2"/>
  <c r="V10" i="2"/>
  <c r="V13" i="2"/>
  <c r="V41" i="2"/>
  <c r="V8" i="1"/>
  <c r="W1" i="1" l="1"/>
  <c r="L29" i="2"/>
  <c r="AG4" i="2" s="1"/>
  <c r="H29" i="2"/>
  <c r="W1" i="2"/>
  <c r="AE4" i="2" l="1"/>
  <c r="J29" i="2"/>
  <c r="AF4" i="2" s="1"/>
</calcChain>
</file>

<file path=xl/sharedStrings.xml><?xml version="1.0" encoding="utf-8"?>
<sst xmlns="http://schemas.openxmlformats.org/spreadsheetml/2006/main" count="711" uniqueCount="97">
  <si>
    <t>G1</t>
  </si>
  <si>
    <t>G2</t>
  </si>
  <si>
    <t>Processed</t>
  </si>
  <si>
    <t xml:space="preserve">Exp No: </t>
  </si>
  <si>
    <t>Date:</t>
  </si>
  <si>
    <t>Embryo No</t>
  </si>
  <si>
    <t>Im.View / Laser</t>
  </si>
  <si>
    <t>Time</t>
  </si>
  <si>
    <t>Total Tricaine Time (min)</t>
  </si>
  <si>
    <t>Stage when imaged [hpf]</t>
  </si>
  <si>
    <t>Notes</t>
  </si>
  <si>
    <t xml:space="preserve">Exp No </t>
  </si>
  <si>
    <t>Strain</t>
  </si>
  <si>
    <t>Stage</t>
  </si>
  <si>
    <t>Manip.</t>
  </si>
  <si>
    <t>Date</t>
  </si>
  <si>
    <t xml:space="preserve"> n Total</t>
  </si>
  <si>
    <t>mt</t>
  </si>
  <si>
    <t>ht</t>
  </si>
  <si>
    <t>wt</t>
  </si>
  <si>
    <t>Include?</t>
  </si>
  <si>
    <t>Pos</t>
  </si>
  <si>
    <t xml:space="preserve">Strain: </t>
  </si>
  <si>
    <t>Stage:</t>
  </si>
  <si>
    <t>Tricaine/Cold</t>
  </si>
  <si>
    <t>Mount</t>
  </si>
  <si>
    <t>Chamber</t>
  </si>
  <si>
    <t>Imaged</t>
  </si>
  <si>
    <t>None</t>
  </si>
  <si>
    <t>YES</t>
  </si>
  <si>
    <t>Gene</t>
  </si>
  <si>
    <t>F01</t>
  </si>
  <si>
    <t>Ventral</t>
  </si>
  <si>
    <t>X</t>
  </si>
  <si>
    <t>F02</t>
  </si>
  <si>
    <t>F03</t>
  </si>
  <si>
    <t>F04</t>
  </si>
  <si>
    <t>F05</t>
  </si>
  <si>
    <t xml:space="preserve">Gene: </t>
  </si>
  <si>
    <t>F06</t>
  </si>
  <si>
    <t>F07</t>
  </si>
  <si>
    <t>F08</t>
  </si>
  <si>
    <t xml:space="preserve">Total: </t>
  </si>
  <si>
    <t>F09</t>
  </si>
  <si>
    <t>F10</t>
  </si>
  <si>
    <t xml:space="preserve">Notes: </t>
  </si>
  <si>
    <t>DOB:</t>
  </si>
  <si>
    <t>fert:</t>
  </si>
  <si>
    <t>G1:</t>
  </si>
  <si>
    <t>F11</t>
  </si>
  <si>
    <t>G2:</t>
  </si>
  <si>
    <t>F12</t>
  </si>
  <si>
    <t>F13</t>
  </si>
  <si>
    <t>F14</t>
  </si>
  <si>
    <t>F15</t>
  </si>
  <si>
    <t>Processed:</t>
  </si>
  <si>
    <t>F16</t>
  </si>
  <si>
    <t>F17</t>
  </si>
  <si>
    <t>Longer than:</t>
  </si>
  <si>
    <t>min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</si>
  <si>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</si>
  <si>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</si>
  <si>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</si>
  <si>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</si>
  <si>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</si>
  <si>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</si>
  <si>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</si>
  <si>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</si>
  <si>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</si>
  <si>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</si>
  <si>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</si>
  <si>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</si>
  <si>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</si>
  <si>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</si>
  <si>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</si>
  <si>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</si>
  <si>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</si>
  <si>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</si>
  <si>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</si>
  <si>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</si>
  <si>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</si>
  <si>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</si>
  <si>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</si>
  <si>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Genot. Combined</t>
  </si>
  <si>
    <t>All Lightsheet Data</t>
  </si>
  <si>
    <t>hapln1a prom241/+ (F2s) InX</t>
  </si>
  <si>
    <t>LS No</t>
  </si>
  <si>
    <t>Stage [hpf]</t>
  </si>
  <si>
    <t>Manip</t>
  </si>
  <si>
    <t>Manipulation</t>
  </si>
  <si>
    <t>LS_All</t>
  </si>
  <si>
    <t>hapln1a</t>
  </si>
  <si>
    <t>All</t>
  </si>
  <si>
    <t>Dorsal</t>
  </si>
  <si>
    <t>Started imaging at 9:45. Ended: 1:15pm</t>
  </si>
  <si>
    <t>72-74</t>
  </si>
  <si>
    <t>LS09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</si>
</sst>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&quot;hpf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249977111117893"/>
      </bottom>
      <diagonal/>
    </border>
    <border>
      <left/>
      <right/>
      <top style="thin">
        <color theme="0" tint="-0.14999847407452621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 textRotation="9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165" fontId="1" fillId="2" borderId="5" xfId="0" applyNumberFormat="1" applyFont="1" applyFill="1" applyBorder="1" applyAlignment="1">
      <alignment horizontal="center" vertical="center"/>
    </xf>
    <xf numFmtId="165" fontId="0" fillId="2" borderId="5" xfId="0" applyNumberFormat="1" applyFont="1" applyFill="1" applyBorder="1" applyAlignment="1">
      <alignment horizontal="center" vertical="center"/>
    </xf>
    <xf numFmtId="15" fontId="0" fillId="2" borderId="5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20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165" fontId="1" fillId="2" borderId="0" xfId="0" applyNumberFormat="1" applyFont="1" applyFill="1" applyBorder="1" applyAlignment="1">
      <alignment horizontal="center" vertical="center"/>
    </xf>
    <xf numFmtId="15" fontId="0" fillId="2" borderId="0" xfId="0" applyNumberFormat="1" applyFill="1" applyBorder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vertical="top"/>
    </xf>
    <xf numFmtId="0" fontId="4" fillId="2" borderId="9" xfId="0" applyFont="1" applyFill="1" applyBorder="1" applyAlignment="1">
      <alignment vertical="top"/>
    </xf>
    <xf numFmtId="20" fontId="4" fillId="2" borderId="9" xfId="0" applyNumberFormat="1" applyFont="1" applyFill="1" applyBorder="1" applyAlignment="1">
      <alignment horizontal="right" vertical="top"/>
    </xf>
    <xf numFmtId="0" fontId="4" fillId="5" borderId="9" xfId="0" applyFont="1" applyFill="1" applyBorder="1" applyAlignment="1">
      <alignment horizontal="right" vertical="top"/>
    </xf>
    <xf numFmtId="20" fontId="4" fillId="2" borderId="9" xfId="0" applyNumberFormat="1" applyFont="1" applyFill="1" applyBorder="1" applyAlignment="1">
      <alignment vertical="top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4" fillId="7" borderId="0" xfId="0" applyFont="1" applyFill="1" applyBorder="1" applyAlignment="1">
      <alignment horizontal="right" vertical="top"/>
    </xf>
    <xf numFmtId="20" fontId="4" fillId="2" borderId="0" xfId="0" applyNumberFormat="1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2" borderId="13" xfId="0" applyFont="1" applyFill="1" applyBorder="1" applyAlignment="1">
      <alignment horizontal="left" vertical="top"/>
    </xf>
    <xf numFmtId="0" fontId="6" fillId="2" borderId="14" xfId="0" applyFont="1" applyFill="1" applyBorder="1" applyAlignment="1">
      <alignment horizontal="left" vertical="top"/>
    </xf>
    <xf numFmtId="0" fontId="6" fillId="2" borderId="15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 textRotation="90"/>
    </xf>
    <xf numFmtId="0" fontId="8" fillId="2" borderId="0" xfId="0" applyFont="1" applyFill="1"/>
    <xf numFmtId="0" fontId="0" fillId="2" borderId="0" xfId="0" applyFill="1"/>
    <xf numFmtId="0" fontId="6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0" borderId="0" xfId="0" applyFont="1" applyBorder="1" applyAlignment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/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0" fillId="2" borderId="18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49" fontId="10" fillId="2" borderId="5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left"/>
    </xf>
    <xf numFmtId="49" fontId="3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15" fontId="4" fillId="2" borderId="9" xfId="0" applyNumberFormat="1" applyFont="1" applyFill="1" applyBorder="1" applyAlignment="1">
      <alignment horizontal="center" vertical="top"/>
    </xf>
    <xf numFmtId="20" fontId="4" fillId="2" borderId="9" xfId="0" applyNumberFormat="1" applyFont="1" applyFill="1" applyBorder="1" applyAlignment="1">
      <alignment horizontal="center" vertical="top"/>
    </xf>
    <xf numFmtId="20" fontId="4" fillId="2" borderId="10" xfId="0" applyNumberFormat="1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12" xfId="0" applyFont="1" applyFill="1" applyBorder="1" applyAlignment="1">
      <alignment horizontal="center" vertical="top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1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6" fillId="2" borderId="13" xfId="0" applyFont="1" applyFill="1" applyBorder="1" applyAlignment="1">
      <alignment horizontal="left" vertical="top"/>
    </xf>
    <xf numFmtId="0" fontId="6" fillId="2" borderId="14" xfId="0" applyFont="1" applyFill="1" applyBorder="1" applyAlignment="1">
      <alignment horizontal="left" vertical="top"/>
    </xf>
    <xf numFmtId="0" fontId="6" fillId="2" borderId="15" xfId="0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textRotation="45"/>
    </xf>
    <xf numFmtId="22" fontId="0" fillId="2" borderId="0" xfId="0" applyNumberForma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5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textRotation="45" wrapText="1"/>
    </xf>
    <xf numFmtId="0" fontId="9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</cellXfs>
  <cellStyles count="1">
    <cellStyle name="Normal" xfId="0" builtinId="0"/>
  </cellStyles>
  <dxfs count="1738"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C0000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 patternType="none">
          <bgColor auto="1"/>
        </patternFill>
      </fill>
    </dxf>
    <dxf>
      <font>
        <color rgb="FFFF66FF"/>
      </font>
    </dxf>
    <dxf>
      <font>
        <color rgb="FF33CCFF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theme="8" tint="-0.24994659260841701"/>
      </font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ont>
        <color theme="5"/>
      </font>
      <fill>
        <patternFill patternType="solid">
          <bgColor theme="5" tint="0.59996337778862885"/>
        </patternFill>
      </fill>
    </dxf>
    <dxf>
      <font>
        <color rgb="FF7030A0"/>
      </font>
      <fill>
        <patternFill>
          <bgColor rgb="FFCC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color rgb="FFC00000"/>
      </font>
    </dxf>
    <dxf>
      <font>
        <color theme="5"/>
      </font>
    </dxf>
    <dxf>
      <font>
        <color theme="7" tint="-0.24994659260841701"/>
      </font>
    </dxf>
    <dxf>
      <font>
        <color rgb="FF00B050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 patternType="none">
          <bgColor auto="1"/>
        </patternFill>
      </fill>
    </dxf>
    <dxf>
      <font>
        <color rgb="FFFF66FF"/>
      </font>
    </dxf>
    <dxf>
      <font>
        <color rgb="FF33CCFF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rgb="FF6600FF"/>
      </font>
    </dxf>
    <dxf>
      <font>
        <color rgb="FFFF6699"/>
      </font>
    </dxf>
    <dxf>
      <font>
        <color rgb="FFC00000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theme="5"/>
      </font>
      <fill>
        <patternFill patternType="none">
          <bgColor auto="1"/>
        </patternFill>
      </fill>
    </dxf>
    <dxf>
      <font>
        <color rgb="FFFF66FF"/>
      </font>
    </dxf>
    <dxf>
      <font>
        <color rgb="FF33CCFF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 patternType="none">
          <bgColor auto="1"/>
        </patternFill>
      </fill>
    </dxf>
    <dxf>
      <font>
        <color rgb="FFFF66FF"/>
      </font>
    </dxf>
    <dxf>
      <font>
        <color rgb="FF33CCFF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rgb="FF6600FF"/>
      </font>
    </dxf>
    <dxf>
      <font>
        <color rgb="FFFF6699"/>
      </font>
    </dxf>
    <dxf>
      <font>
        <color rgb="FFC00000"/>
      </font>
    </dxf>
    <dxf>
      <font>
        <color auto="1"/>
      </font>
      <fill>
        <patternFill>
          <bgColor rgb="FFFFCCCC"/>
        </patternFill>
      </fill>
    </dxf>
    <dxf>
      <font>
        <color rgb="FFC00000"/>
      </font>
    </dxf>
    <dxf>
      <font>
        <color theme="5"/>
      </font>
    </dxf>
    <dxf>
      <font>
        <color theme="7" tint="-0.24994659260841701"/>
      </font>
    </dxf>
    <dxf>
      <font>
        <color rgb="FF00B050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theme="5"/>
      </font>
      <fill>
        <patternFill patternType="none">
          <bgColor auto="1"/>
        </patternFill>
      </fill>
    </dxf>
    <dxf>
      <font>
        <color rgb="FFFF66FF"/>
      </font>
    </dxf>
    <dxf>
      <font>
        <color rgb="FF33CCFF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auto="1"/>
      </font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auto="1"/>
      </font>
      <fill>
        <patternFill>
          <bgColor rgb="FFFFCCCC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 patternType="none">
          <bgColor auto="1"/>
        </patternFill>
      </fill>
    </dxf>
    <dxf>
      <font>
        <color rgb="FFFF66FF"/>
      </font>
    </dxf>
    <dxf>
      <font>
        <color rgb="FF33CCFF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rgb="FF6600FF"/>
      </font>
    </dxf>
    <dxf>
      <font>
        <color rgb="FFFF6699"/>
      </font>
    </dxf>
    <dxf>
      <font>
        <color rgb="FFC00000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theme="5"/>
      </font>
      <fill>
        <patternFill patternType="none">
          <bgColor auto="1"/>
        </patternFill>
      </fill>
    </dxf>
    <dxf>
      <font>
        <color rgb="FFFF66FF"/>
      </font>
    </dxf>
    <dxf>
      <font>
        <color rgb="FF33CCFF"/>
      </font>
    </dxf>
    <dxf>
      <font>
        <u val="none"/>
        <color rgb="FF0070C0"/>
      </font>
    </dxf>
    <dxf>
      <font>
        <color rgb="FF00B050"/>
      </font>
    </dxf>
    <dxf>
      <font>
        <color rgb="FF521B93"/>
      </font>
    </dxf>
    <dxf>
      <font>
        <color rgb="FF009193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5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ill>
        <patternFill>
          <bgColor theme="7" tint="0.59996337778862885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3C61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3AAD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7A81FF"/>
        </patternFill>
      </fill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  <dxf>
      <font>
        <color theme="9"/>
      </font>
    </dxf>
    <dxf>
      <font>
        <color rgb="FFC00000"/>
      </font>
    </dxf>
    <dxf>
      <font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6"/>
  <sheetViews>
    <sheetView tabSelected="1" zoomScale="80" zoomScaleNormal="80" workbookViewId="0">
      <selection activeCell="E33" sqref="E33"/>
    </sheetView>
  </sheetViews>
  <sheetFormatPr defaultColWidth="9.140625" defaultRowHeight="15" x14ac:dyDescent="0.25"/>
  <cols>
    <col min="1" max="1" width="7.42578125" style="3" customWidth="1"/>
    <col min="2" max="2" width="7.140625" style="3" customWidth="1"/>
    <col min="3" max="7" width="5.42578125" style="3" customWidth="1"/>
    <col min="8" max="8" width="6" style="3" bestFit="1" customWidth="1"/>
    <col min="9" max="9" width="5.42578125" style="3" customWidth="1"/>
    <col min="10" max="10" width="6.28515625" style="3" bestFit="1" customWidth="1"/>
    <col min="11" max="11" width="5.42578125" style="3" customWidth="1"/>
    <col min="12" max="12" width="5.28515625" style="3" customWidth="1"/>
    <col min="13" max="13" width="5.7109375" style="3" customWidth="1"/>
    <col min="14" max="14" width="4.28515625" style="3" customWidth="1"/>
    <col min="15" max="16" width="9.140625" style="3"/>
    <col min="17" max="17" width="12.85546875" style="3" customWidth="1"/>
    <col min="18" max="18" width="7" style="3" bestFit="1" customWidth="1"/>
    <col min="19" max="19" width="9.140625" style="3" bestFit="1" customWidth="1"/>
    <col min="20" max="20" width="7.85546875" style="3" bestFit="1" customWidth="1"/>
    <col min="21" max="21" width="12.85546875" style="3" customWidth="1"/>
    <col min="22" max="22" width="13.28515625" style="3" customWidth="1"/>
    <col min="23" max="23" width="12.42578125" style="3" customWidth="1"/>
    <col min="24" max="24" width="5.7109375" style="3" customWidth="1"/>
    <col min="25" max="25" width="8.42578125" style="3" customWidth="1"/>
    <col min="26" max="26" width="32.85546875" style="3" customWidth="1"/>
    <col min="27" max="28" width="11.140625" style="3" customWidth="1"/>
    <col min="29" max="29" width="10.42578125" style="3" bestFit="1" customWidth="1"/>
    <col min="30" max="30" width="9.140625" style="3"/>
    <col min="31" max="33" width="5.7109375" style="3" customWidth="1"/>
    <col min="34" max="34" width="9.42578125" style="3" customWidth="1"/>
    <col min="35" max="38" width="5.7109375" style="3" customWidth="1"/>
    <col min="39" max="39" width="7.42578125" style="3" customWidth="1"/>
    <col min="40" max="40" width="9.28515625" style="3" bestFit="1" customWidth="1"/>
    <col min="41" max="16384" width="9.140625" style="3"/>
  </cols>
  <sheetData>
    <row r="1" spans="1:40" x14ac:dyDescent="0.25">
      <c r="A1" s="1" t="s">
        <v>96</v>
      </c>
      <c r="B1" s="2"/>
      <c r="M1" s="2"/>
      <c r="P1" s="4" t="s">
        <v>0</v>
      </c>
      <c r="Q1" s="102">
        <f>F15+J15</f>
        <v>43858.402777777781</v>
      </c>
      <c r="R1" s="102"/>
      <c r="T1" s="4" t="s">
        <v>1</v>
      </c>
      <c r="U1" s="102">
        <f>F15+J16</f>
        <v>43858</v>
      </c>
      <c r="V1" s="102"/>
      <c r="W1" s="28"/>
      <c r="AH1" s="2"/>
      <c r="AN1" s="6"/>
    </row>
    <row r="2" spans="1:40" x14ac:dyDescent="0.25">
      <c r="A2" s="2"/>
      <c r="B2" s="2"/>
      <c r="AI2" s="103" t="s">
        <v>2</v>
      </c>
      <c r="AJ2" s="104"/>
      <c r="AK2" s="105"/>
      <c r="AN2" s="6"/>
    </row>
    <row r="3" spans="1:40" ht="15" customHeight="1" x14ac:dyDescent="0.25">
      <c r="B3" s="7" t="s">
        <v>3</v>
      </c>
      <c r="C3" s="8" t="str">
        <f>$A$1</f>
        <v>LS09</v>
      </c>
      <c r="D3" s="9"/>
      <c r="E3" s="9"/>
      <c r="J3" s="7" t="s">
        <v>4</v>
      </c>
      <c r="K3" s="106">
        <v>43861</v>
      </c>
      <c r="L3" s="107"/>
      <c r="O3" s="108" t="s">
        <v>5</v>
      </c>
      <c r="P3" s="108" t="s">
        <v>6</v>
      </c>
      <c r="Q3" s="109" t="s">
        <v>7</v>
      </c>
      <c r="R3" s="109"/>
      <c r="S3" s="109"/>
      <c r="T3" s="109"/>
      <c r="U3" s="108" t="s">
        <v>8</v>
      </c>
      <c r="V3" s="108" t="s">
        <v>9</v>
      </c>
      <c r="W3" s="108" t="s">
        <v>10</v>
      </c>
      <c r="Y3" s="10" t="s">
        <v>11</v>
      </c>
      <c r="Z3" s="10" t="s">
        <v>12</v>
      </c>
      <c r="AA3" s="10" t="s">
        <v>13</v>
      </c>
      <c r="AB3" s="10" t="s">
        <v>14</v>
      </c>
      <c r="AC3" s="10" t="s">
        <v>15</v>
      </c>
      <c r="AD3" s="10" t="s">
        <v>16</v>
      </c>
      <c r="AE3" s="10" t="s">
        <v>17</v>
      </c>
      <c r="AF3" s="10" t="s">
        <v>18</v>
      </c>
      <c r="AG3" s="10" t="s">
        <v>19</v>
      </c>
      <c r="AH3" s="10" t="s">
        <v>20</v>
      </c>
      <c r="AI3" s="11" t="s">
        <v>17</v>
      </c>
      <c r="AJ3" s="11" t="s">
        <v>18</v>
      </c>
      <c r="AK3" s="11" t="s">
        <v>19</v>
      </c>
      <c r="AM3" s="3" t="s">
        <v>21</v>
      </c>
      <c r="AN3" s="3" t="str">
        <f>A1</f>
        <v>LS09</v>
      </c>
    </row>
    <row r="4" spans="1:40" x14ac:dyDescent="0.25">
      <c r="B4" s="12" t="s">
        <v>22</v>
      </c>
      <c r="C4" s="99" t="s">
        <v>85</v>
      </c>
      <c r="D4" s="99"/>
      <c r="E4" s="99"/>
      <c r="F4" s="99"/>
      <c r="G4" s="99"/>
      <c r="H4" s="99"/>
      <c r="J4" s="7" t="s">
        <v>23</v>
      </c>
      <c r="K4" s="100" t="s">
        <v>95</v>
      </c>
      <c r="L4" s="100"/>
      <c r="O4" s="108"/>
      <c r="P4" s="108"/>
      <c r="Q4" s="13" t="s">
        <v>24</v>
      </c>
      <c r="R4" s="4" t="s">
        <v>25</v>
      </c>
      <c r="S4" s="4" t="s">
        <v>26</v>
      </c>
      <c r="T4" s="4" t="s">
        <v>27</v>
      </c>
      <c r="U4" s="108"/>
      <c r="V4" s="108"/>
      <c r="W4" s="108"/>
      <c r="Y4" s="14" t="str">
        <f>C3</f>
        <v>LS09</v>
      </c>
      <c r="Z4" s="15" t="str">
        <f>C4</f>
        <v>hapln1a prom241/+ (F2s) InX</v>
      </c>
      <c r="AA4" s="16" t="str">
        <f>K4</f>
        <v>72-74</v>
      </c>
      <c r="AB4" s="17" t="s">
        <v>28</v>
      </c>
      <c r="AC4" s="18">
        <f>K3</f>
        <v>43861</v>
      </c>
      <c r="AD4" s="14">
        <f>E13</f>
        <v>18</v>
      </c>
      <c r="AE4" s="14">
        <f>H13</f>
        <v>3</v>
      </c>
      <c r="AF4" s="14">
        <f>J13</f>
        <v>11</v>
      </c>
      <c r="AG4" s="14">
        <f>L13</f>
        <v>4</v>
      </c>
      <c r="AH4" s="14" t="s">
        <v>29</v>
      </c>
      <c r="AI4" s="14">
        <f>H20</f>
        <v>3</v>
      </c>
      <c r="AJ4" s="14">
        <f>J20</f>
        <v>4</v>
      </c>
      <c r="AK4" s="14">
        <f>L20</f>
        <v>3</v>
      </c>
      <c r="AM4" s="3" t="s">
        <v>30</v>
      </c>
      <c r="AN4" s="3" t="str">
        <f>B6</f>
        <v>hapln1a</v>
      </c>
    </row>
    <row r="5" spans="1:40" ht="15" customHeight="1" x14ac:dyDescent="0.25"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N5" s="83">
        <v>1</v>
      </c>
      <c r="O5" s="19" t="s">
        <v>31</v>
      </c>
      <c r="P5" s="19" t="s">
        <v>32</v>
      </c>
      <c r="Q5" s="20">
        <v>0.40277777777777773</v>
      </c>
      <c r="R5" s="20">
        <v>0.40625</v>
      </c>
      <c r="S5" s="20">
        <v>0.41319444444444442</v>
      </c>
      <c r="T5" s="20">
        <v>0.41944444444444445</v>
      </c>
      <c r="U5" s="20">
        <f t="shared" ref="U5:U25" si="0">T5-Q5</f>
        <v>1.6666666666666718E-2</v>
      </c>
      <c r="V5" s="21">
        <f t="shared" ref="V5:V25" si="1">(($K$3+T5)-$Q$1)*24</f>
        <v>72.399999999906868</v>
      </c>
      <c r="W5" s="19"/>
      <c r="Y5" s="14"/>
      <c r="Z5" s="16"/>
      <c r="AA5" s="16"/>
      <c r="AB5" s="16"/>
      <c r="AC5" s="18"/>
      <c r="AD5" s="14"/>
      <c r="AE5" s="14"/>
      <c r="AF5" s="14"/>
      <c r="AG5" s="14"/>
      <c r="AH5" s="14"/>
      <c r="AI5" s="14"/>
      <c r="AJ5" s="14"/>
      <c r="AK5" s="14"/>
      <c r="AM5" s="3" t="s">
        <v>31</v>
      </c>
      <c r="AN5" s="23" t="str">
        <f t="array" ref="AN5:AN14">TRANSPOSE(C6:L6)</f>
        <v>ht</v>
      </c>
    </row>
    <row r="6" spans="1:40" x14ac:dyDescent="0.25">
      <c r="B6" s="101" t="s">
        <v>91</v>
      </c>
      <c r="C6" s="24" t="s">
        <v>18</v>
      </c>
      <c r="D6" s="81" t="s">
        <v>18</v>
      </c>
      <c r="E6" s="24" t="s">
        <v>18</v>
      </c>
      <c r="F6" s="24" t="s">
        <v>18</v>
      </c>
      <c r="G6" s="24" t="s">
        <v>18</v>
      </c>
      <c r="H6" s="81" t="s">
        <v>18</v>
      </c>
      <c r="I6" s="81" t="s">
        <v>19</v>
      </c>
      <c r="J6" s="24" t="s">
        <v>18</v>
      </c>
      <c r="K6" s="81" t="s">
        <v>18</v>
      </c>
      <c r="L6" s="81" t="s">
        <v>17</v>
      </c>
      <c r="N6" s="83"/>
      <c r="O6" s="19" t="s">
        <v>34</v>
      </c>
      <c r="P6" s="19" t="s">
        <v>32</v>
      </c>
      <c r="Q6" s="20">
        <f>Q5</f>
        <v>0.40277777777777773</v>
      </c>
      <c r="R6" s="20">
        <f>R5</f>
        <v>0.40625</v>
      </c>
      <c r="S6" s="20">
        <f>S5</f>
        <v>0.41319444444444442</v>
      </c>
      <c r="T6" s="20">
        <v>0.42499999999999999</v>
      </c>
      <c r="U6" s="20">
        <f t="shared" si="0"/>
        <v>2.2222222222222254E-2</v>
      </c>
      <c r="V6" s="21">
        <f t="shared" si="1"/>
        <v>72.533333333325572</v>
      </c>
      <c r="W6" s="19"/>
      <c r="Y6" s="2"/>
      <c r="Z6" s="25"/>
      <c r="AA6" s="26"/>
      <c r="AB6" s="26"/>
      <c r="AC6" s="27"/>
      <c r="AD6" s="2"/>
      <c r="AE6" s="2"/>
      <c r="AF6" s="2"/>
      <c r="AG6" s="2"/>
      <c r="AH6" s="2"/>
      <c r="AI6" s="2"/>
      <c r="AJ6" s="2"/>
      <c r="AK6" s="2"/>
      <c r="AM6" s="3" t="s">
        <v>34</v>
      </c>
      <c r="AN6" s="23" t="str">
        <v>ht</v>
      </c>
    </row>
    <row r="7" spans="1:40" x14ac:dyDescent="0.25">
      <c r="B7" s="101"/>
      <c r="C7" s="3">
        <v>11</v>
      </c>
      <c r="D7" s="3">
        <v>12</v>
      </c>
      <c r="E7" s="3">
        <v>13</v>
      </c>
      <c r="F7" s="3">
        <v>14</v>
      </c>
      <c r="G7" s="3">
        <v>15</v>
      </c>
      <c r="H7" s="3">
        <v>16</v>
      </c>
      <c r="I7" s="3">
        <v>17</v>
      </c>
      <c r="J7" s="3">
        <v>18</v>
      </c>
      <c r="K7" s="3">
        <v>19</v>
      </c>
      <c r="L7" s="3">
        <v>20</v>
      </c>
      <c r="N7" s="83"/>
      <c r="O7" s="19" t="s">
        <v>35</v>
      </c>
      <c r="P7" s="19" t="s">
        <v>32</v>
      </c>
      <c r="Q7" s="20">
        <f>Q5</f>
        <v>0.40277777777777773</v>
      </c>
      <c r="R7" s="20">
        <f>R5</f>
        <v>0.40625</v>
      </c>
      <c r="S7" s="20">
        <f>S5</f>
        <v>0.41319444444444442</v>
      </c>
      <c r="T7" s="20">
        <v>0.43333333333333335</v>
      </c>
      <c r="U7" s="20">
        <f t="shared" si="0"/>
        <v>3.0555555555555614E-2</v>
      </c>
      <c r="V7" s="21">
        <f t="shared" si="1"/>
        <v>72.733333333279006</v>
      </c>
      <c r="W7" s="19"/>
      <c r="Y7" s="2"/>
      <c r="Z7" s="25"/>
      <c r="AA7" s="26"/>
      <c r="AB7" s="26"/>
      <c r="AC7" s="27"/>
      <c r="AD7" s="2"/>
      <c r="AE7" s="2"/>
      <c r="AF7" s="2"/>
      <c r="AG7" s="2"/>
      <c r="AH7" s="2"/>
      <c r="AI7" s="2"/>
      <c r="AJ7" s="2"/>
      <c r="AK7" s="2"/>
      <c r="AM7" s="3" t="s">
        <v>35</v>
      </c>
      <c r="AN7" s="23" t="str">
        <v>ht</v>
      </c>
    </row>
    <row r="8" spans="1:40" x14ac:dyDescent="0.25">
      <c r="B8" s="101"/>
      <c r="C8" s="81" t="s">
        <v>17</v>
      </c>
      <c r="D8" s="24" t="s">
        <v>19</v>
      </c>
      <c r="E8" s="24" t="s">
        <v>18</v>
      </c>
      <c r="F8" s="24" t="s">
        <v>18</v>
      </c>
      <c r="G8" s="81" t="s">
        <v>19</v>
      </c>
      <c r="H8" s="81" t="s">
        <v>18</v>
      </c>
      <c r="I8" s="81" t="s">
        <v>19</v>
      </c>
      <c r="J8" s="81" t="s">
        <v>17</v>
      </c>
      <c r="K8" s="24" t="s">
        <v>33</v>
      </c>
      <c r="L8" s="24" t="s">
        <v>33</v>
      </c>
      <c r="N8" s="83">
        <v>2</v>
      </c>
      <c r="O8" s="3" t="s">
        <v>36</v>
      </c>
      <c r="P8" s="3" t="s">
        <v>32</v>
      </c>
      <c r="Q8" s="28">
        <v>0.41666666666666669</v>
      </c>
      <c r="R8" s="28">
        <v>0.42499999999999999</v>
      </c>
      <c r="S8" s="28">
        <v>0.4375</v>
      </c>
      <c r="T8" s="28">
        <v>0.43958333333333338</v>
      </c>
      <c r="U8" s="28">
        <f t="shared" si="0"/>
        <v>2.2916666666666696E-2</v>
      </c>
      <c r="V8" s="29">
        <f t="shared" si="1"/>
        <v>72.883333333244082</v>
      </c>
      <c r="Z8" s="2"/>
      <c r="AM8" s="3" t="s">
        <v>36</v>
      </c>
      <c r="AN8" s="23" t="str">
        <v>ht</v>
      </c>
    </row>
    <row r="9" spans="1:40" x14ac:dyDescent="0.25">
      <c r="B9" s="101"/>
      <c r="C9" s="3">
        <v>21</v>
      </c>
      <c r="D9" s="3">
        <v>22</v>
      </c>
      <c r="E9" s="3">
        <v>23</v>
      </c>
      <c r="F9" s="3">
        <v>24</v>
      </c>
      <c r="G9" s="3">
        <v>25</v>
      </c>
      <c r="H9" s="3">
        <v>26</v>
      </c>
      <c r="I9" s="3">
        <v>27</v>
      </c>
      <c r="J9" s="3">
        <v>28</v>
      </c>
      <c r="K9" s="3">
        <v>29</v>
      </c>
      <c r="L9" s="3">
        <v>30</v>
      </c>
      <c r="N9" s="83"/>
      <c r="O9" s="3" t="s">
        <v>37</v>
      </c>
      <c r="P9" s="3" t="s">
        <v>32</v>
      </c>
      <c r="Q9" s="28">
        <f>Q8</f>
        <v>0.41666666666666669</v>
      </c>
      <c r="R9" s="28">
        <f>R8</f>
        <v>0.42499999999999999</v>
      </c>
      <c r="S9" s="28">
        <f>S8</f>
        <v>0.4375</v>
      </c>
      <c r="T9" s="28">
        <v>0.4458333333333333</v>
      </c>
      <c r="U9" s="28">
        <f t="shared" si="0"/>
        <v>2.9166666666666619E-2</v>
      </c>
      <c r="V9" s="29">
        <f t="shared" si="1"/>
        <v>73.033333333209157</v>
      </c>
      <c r="AM9" s="3" t="s">
        <v>37</v>
      </c>
      <c r="AN9" s="23" t="str">
        <v>ht</v>
      </c>
    </row>
    <row r="10" spans="1:40" x14ac:dyDescent="0.25">
      <c r="B10" s="101" t="s">
        <v>38</v>
      </c>
      <c r="C10" s="24" t="s">
        <v>33</v>
      </c>
      <c r="D10" s="24" t="s">
        <v>33</v>
      </c>
      <c r="E10" s="24" t="s">
        <v>33</v>
      </c>
      <c r="F10" s="24" t="s">
        <v>33</v>
      </c>
      <c r="G10" s="24" t="s">
        <v>33</v>
      </c>
      <c r="H10" s="24" t="s">
        <v>33</v>
      </c>
      <c r="I10" s="24" t="s">
        <v>33</v>
      </c>
      <c r="J10" s="24" t="s">
        <v>33</v>
      </c>
      <c r="K10" s="24" t="s">
        <v>33</v>
      </c>
      <c r="L10" s="24" t="s">
        <v>33</v>
      </c>
      <c r="N10" s="83"/>
      <c r="O10" s="3" t="s">
        <v>39</v>
      </c>
      <c r="P10" s="3" t="s">
        <v>32</v>
      </c>
      <c r="Q10" s="28">
        <f>Q8</f>
        <v>0.41666666666666669</v>
      </c>
      <c r="R10" s="28">
        <f>R8</f>
        <v>0.42499999999999999</v>
      </c>
      <c r="S10" s="28">
        <f>S8</f>
        <v>0.4375</v>
      </c>
      <c r="T10" s="28">
        <v>0.45069444444444445</v>
      </c>
      <c r="U10" s="28">
        <f t="shared" si="0"/>
        <v>3.4027777777777768E-2</v>
      </c>
      <c r="V10" s="29">
        <f t="shared" si="1"/>
        <v>73.149999999906868</v>
      </c>
      <c r="AM10" s="3" t="s">
        <v>39</v>
      </c>
      <c r="AN10" s="23" t="str">
        <v>ht</v>
      </c>
    </row>
    <row r="11" spans="1:40" x14ac:dyDescent="0.25">
      <c r="B11" s="101"/>
      <c r="C11" s="3">
        <v>31</v>
      </c>
      <c r="D11" s="3">
        <v>32</v>
      </c>
      <c r="E11" s="3">
        <v>33</v>
      </c>
      <c r="F11" s="3">
        <v>34</v>
      </c>
      <c r="G11" s="3">
        <v>35</v>
      </c>
      <c r="H11" s="3">
        <v>36</v>
      </c>
      <c r="I11" s="3">
        <v>37</v>
      </c>
      <c r="J11" s="3">
        <v>38</v>
      </c>
      <c r="K11" s="3">
        <v>39</v>
      </c>
      <c r="L11" s="3">
        <v>40</v>
      </c>
      <c r="N11" s="83">
        <v>3</v>
      </c>
      <c r="O11" s="19" t="s">
        <v>40</v>
      </c>
      <c r="P11" s="19" t="s">
        <v>32</v>
      </c>
      <c r="Q11" s="20">
        <v>0.4381944444444445</v>
      </c>
      <c r="R11" s="20">
        <v>0.4458333333333333</v>
      </c>
      <c r="S11" s="20">
        <v>0.4513888888888889</v>
      </c>
      <c r="T11" s="20">
        <v>0.46597222222222223</v>
      </c>
      <c r="U11" s="20">
        <f t="shared" si="0"/>
        <v>2.7777777777777735E-2</v>
      </c>
      <c r="V11" s="21">
        <f t="shared" si="1"/>
        <v>73.516666666546371</v>
      </c>
      <c r="W11" s="19"/>
      <c r="AM11" s="3" t="s">
        <v>40</v>
      </c>
      <c r="AN11" s="23" t="str">
        <v>wt</v>
      </c>
    </row>
    <row r="12" spans="1:40" ht="15" customHeight="1" x14ac:dyDescent="0.25">
      <c r="B12" s="101"/>
      <c r="C12" s="24" t="s">
        <v>33</v>
      </c>
      <c r="D12" s="24" t="s">
        <v>33</v>
      </c>
      <c r="E12" s="24" t="s">
        <v>33</v>
      </c>
      <c r="F12" s="24" t="s">
        <v>33</v>
      </c>
      <c r="G12" s="24" t="s">
        <v>33</v>
      </c>
      <c r="H12" s="24" t="s">
        <v>33</v>
      </c>
      <c r="I12" s="24" t="s">
        <v>33</v>
      </c>
      <c r="J12" s="24" t="s">
        <v>33</v>
      </c>
      <c r="K12" s="24" t="s">
        <v>33</v>
      </c>
      <c r="L12" s="24" t="s">
        <v>33</v>
      </c>
      <c r="N12" s="83"/>
      <c r="O12" s="19" t="s">
        <v>41</v>
      </c>
      <c r="P12" s="19" t="s">
        <v>32</v>
      </c>
      <c r="Q12" s="20">
        <f>Q11</f>
        <v>0.4381944444444445</v>
      </c>
      <c r="R12" s="20">
        <f>R11</f>
        <v>0.4458333333333333</v>
      </c>
      <c r="S12" s="20">
        <f>S11</f>
        <v>0.4513888888888889</v>
      </c>
      <c r="T12" s="20">
        <v>0.47152777777777777</v>
      </c>
      <c r="U12" s="20">
        <f t="shared" si="0"/>
        <v>3.333333333333327E-2</v>
      </c>
      <c r="V12" s="21">
        <f t="shared" si="1"/>
        <v>73.649999999965075</v>
      </c>
      <c r="W12" s="19"/>
      <c r="AM12" s="3" t="s">
        <v>41</v>
      </c>
      <c r="AN12" s="23" t="str">
        <v>ht</v>
      </c>
    </row>
    <row r="13" spans="1:40" ht="15" customHeight="1" x14ac:dyDescent="0.25">
      <c r="C13" s="31" t="s">
        <v>42</v>
      </c>
      <c r="D13" s="31"/>
      <c r="E13" s="32">
        <f>H13+J13+L13</f>
        <v>18</v>
      </c>
      <c r="G13" s="32" t="s">
        <v>17</v>
      </c>
      <c r="H13" s="32">
        <f>COUNTIF(C6:L12,"*"&amp;G13&amp;"*")</f>
        <v>3</v>
      </c>
      <c r="I13" s="32" t="s">
        <v>18</v>
      </c>
      <c r="J13" s="32">
        <f>COUNTIF(C6:L12,"*"&amp;I13&amp;"*")</f>
        <v>11</v>
      </c>
      <c r="K13" s="32" t="s">
        <v>19</v>
      </c>
      <c r="L13" s="32">
        <f>COUNTIF(C6:L12,"*"&amp;K13&amp;"*")</f>
        <v>4</v>
      </c>
      <c r="N13" s="83"/>
      <c r="O13" s="19" t="s">
        <v>43</v>
      </c>
      <c r="P13" s="19" t="s">
        <v>32</v>
      </c>
      <c r="Q13" s="20">
        <f>Q11</f>
        <v>0.4381944444444445</v>
      </c>
      <c r="R13" s="20">
        <f>R11</f>
        <v>0.4458333333333333</v>
      </c>
      <c r="S13" s="20">
        <f>S11</f>
        <v>0.4513888888888889</v>
      </c>
      <c r="T13" s="20">
        <v>0.4770833333333333</v>
      </c>
      <c r="U13" s="20">
        <f t="shared" si="0"/>
        <v>3.8888888888888806E-2</v>
      </c>
      <c r="V13" s="21">
        <f t="shared" si="1"/>
        <v>73.783333333209157</v>
      </c>
      <c r="W13" s="19"/>
      <c r="AM13" s="3" t="s">
        <v>43</v>
      </c>
      <c r="AN13" s="23" t="str">
        <v>ht</v>
      </c>
    </row>
    <row r="14" spans="1:40" ht="15" customHeight="1" x14ac:dyDescent="0.25">
      <c r="N14" s="83">
        <v>4</v>
      </c>
      <c r="O14" s="3" t="s">
        <v>44</v>
      </c>
      <c r="P14" s="3" t="s">
        <v>32</v>
      </c>
      <c r="Q14" s="28">
        <v>0.45833333333333331</v>
      </c>
      <c r="R14" s="28">
        <v>0.47847222222222219</v>
      </c>
      <c r="S14" s="28">
        <v>0.4826388888888889</v>
      </c>
      <c r="T14" s="28">
        <v>0.48472222222222222</v>
      </c>
      <c r="U14" s="28">
        <f t="shared" si="0"/>
        <v>2.6388888888888906E-2</v>
      </c>
      <c r="V14" s="29">
        <f t="shared" si="1"/>
        <v>73.96666666661622</v>
      </c>
      <c r="AM14" s="3" t="s">
        <v>44</v>
      </c>
      <c r="AN14" s="23" t="str">
        <v>mt</v>
      </c>
    </row>
    <row r="15" spans="1:40" x14ac:dyDescent="0.25">
      <c r="C15" s="33" t="s">
        <v>45</v>
      </c>
      <c r="D15" s="34"/>
      <c r="E15" s="34" t="s">
        <v>46</v>
      </c>
      <c r="F15" s="84">
        <v>43858</v>
      </c>
      <c r="G15" s="84"/>
      <c r="H15" s="35" t="s">
        <v>47</v>
      </c>
      <c r="I15" s="36" t="s">
        <v>48</v>
      </c>
      <c r="J15" s="37">
        <v>0.40277777777777773</v>
      </c>
      <c r="K15" s="85" t="s">
        <v>92</v>
      </c>
      <c r="L15" s="86"/>
      <c r="N15" s="83"/>
      <c r="O15" s="3" t="s">
        <v>49</v>
      </c>
      <c r="P15" s="3" t="s">
        <v>32</v>
      </c>
      <c r="Q15" s="28">
        <f>Q14</f>
        <v>0.45833333333333331</v>
      </c>
      <c r="R15" s="28">
        <f>R14</f>
        <v>0.47847222222222219</v>
      </c>
      <c r="S15" s="28">
        <f>S14</f>
        <v>0.4826388888888889</v>
      </c>
      <c r="T15" s="28">
        <v>0.48958333333333331</v>
      </c>
      <c r="U15" s="28">
        <f t="shared" si="0"/>
        <v>3.125E-2</v>
      </c>
      <c r="V15" s="29">
        <f t="shared" si="1"/>
        <v>74.083333333313931</v>
      </c>
      <c r="AM15" s="3" t="s">
        <v>49</v>
      </c>
      <c r="AN15" s="23" t="str">
        <f t="array" ref="AN15:AN24">TRANSPOSE(C8:L8)</f>
        <v>mt</v>
      </c>
    </row>
    <row r="16" spans="1:40" x14ac:dyDescent="0.25">
      <c r="C16" s="38"/>
      <c r="D16" s="39"/>
      <c r="E16" s="39"/>
      <c r="F16" s="39"/>
      <c r="G16" s="39"/>
      <c r="H16" s="39"/>
      <c r="I16" s="40" t="s">
        <v>50</v>
      </c>
      <c r="J16" s="41"/>
      <c r="K16" s="87"/>
      <c r="L16" s="88"/>
      <c r="N16" s="83"/>
      <c r="O16" s="3" t="s">
        <v>51</v>
      </c>
      <c r="P16" s="3" t="s">
        <v>32</v>
      </c>
      <c r="Q16" s="28">
        <f>Q14</f>
        <v>0.45833333333333331</v>
      </c>
      <c r="R16" s="28">
        <f>R14</f>
        <v>0.47847222222222219</v>
      </c>
      <c r="S16" s="28">
        <f>S14</f>
        <v>0.4826388888888889</v>
      </c>
      <c r="T16" s="28">
        <v>0.49791666666666662</v>
      </c>
      <c r="U16" s="28">
        <f t="shared" si="0"/>
        <v>3.9583333333333304E-2</v>
      </c>
      <c r="V16" s="29">
        <f t="shared" si="1"/>
        <v>74.283333333267365</v>
      </c>
      <c r="W16" s="82"/>
      <c r="AM16" s="3" t="s">
        <v>51</v>
      </c>
      <c r="AN16" s="23" t="str">
        <v>wt</v>
      </c>
    </row>
    <row r="17" spans="3:40" x14ac:dyDescent="0.25">
      <c r="C17" s="91"/>
      <c r="D17" s="92"/>
      <c r="E17" s="92"/>
      <c r="F17" s="92"/>
      <c r="G17" s="92"/>
      <c r="H17" s="92"/>
      <c r="I17" s="92"/>
      <c r="J17" s="92"/>
      <c r="K17" s="92"/>
      <c r="L17" s="93"/>
      <c r="N17" s="83">
        <v>5</v>
      </c>
      <c r="O17" s="89" t="s">
        <v>52</v>
      </c>
      <c r="P17" s="19" t="s">
        <v>32</v>
      </c>
      <c r="Q17" s="20">
        <v>0.48472222222222222</v>
      </c>
      <c r="R17" s="20">
        <v>0.48958333333333331</v>
      </c>
      <c r="S17" s="20">
        <v>0.5</v>
      </c>
      <c r="T17" s="20">
        <v>0.50347222222222221</v>
      </c>
      <c r="U17" s="20">
        <f t="shared" si="0"/>
        <v>1.8749999999999989E-2</v>
      </c>
      <c r="V17" s="21">
        <f t="shared" si="1"/>
        <v>74.416666666511446</v>
      </c>
      <c r="W17" s="19"/>
      <c r="AM17" s="3" t="s">
        <v>52</v>
      </c>
      <c r="AN17" s="23" t="str">
        <v>ht</v>
      </c>
    </row>
    <row r="18" spans="3:40" x14ac:dyDescent="0.25">
      <c r="C18" s="94" t="s">
        <v>94</v>
      </c>
      <c r="D18" s="95"/>
      <c r="E18" s="95"/>
      <c r="F18" s="95"/>
      <c r="G18" s="95"/>
      <c r="H18" s="95"/>
      <c r="I18" s="95"/>
      <c r="J18" s="95"/>
      <c r="K18" s="95"/>
      <c r="L18" s="96"/>
      <c r="N18" s="83"/>
      <c r="O18" s="89"/>
      <c r="P18" s="19" t="s">
        <v>93</v>
      </c>
      <c r="Q18" s="20">
        <f>Q17</f>
        <v>0.48472222222222222</v>
      </c>
      <c r="R18" s="20">
        <f>R17</f>
        <v>0.48958333333333331</v>
      </c>
      <c r="S18" s="20">
        <f>S17</f>
        <v>0.5</v>
      </c>
      <c r="T18" s="20">
        <v>0.50624999999999998</v>
      </c>
      <c r="U18" s="20">
        <f t="shared" si="0"/>
        <v>2.1527777777777757E-2</v>
      </c>
      <c r="V18" s="21">
        <f t="shared" si="1"/>
        <v>74.483333333220799</v>
      </c>
      <c r="W18" s="19"/>
      <c r="AM18" s="3" t="s">
        <v>53</v>
      </c>
      <c r="AN18" s="23" t="str">
        <v>ht</v>
      </c>
    </row>
    <row r="19" spans="3:40" x14ac:dyDescent="0.25">
      <c r="N19" s="83"/>
      <c r="O19" s="89" t="s">
        <v>53</v>
      </c>
      <c r="P19" s="19" t="s">
        <v>32</v>
      </c>
      <c r="Q19" s="20">
        <f>Q17</f>
        <v>0.48472222222222222</v>
      </c>
      <c r="R19" s="20">
        <f>R17</f>
        <v>0.48958333333333331</v>
      </c>
      <c r="S19" s="20">
        <f>S17</f>
        <v>0.5</v>
      </c>
      <c r="T19" s="20">
        <v>0.5131944444444444</v>
      </c>
      <c r="U19" s="20">
        <f t="shared" si="0"/>
        <v>2.8472222222222177E-2</v>
      </c>
      <c r="V19" s="21">
        <f t="shared" si="1"/>
        <v>74.649999999906868</v>
      </c>
      <c r="W19" s="19"/>
      <c r="AM19" s="3" t="s">
        <v>54</v>
      </c>
      <c r="AN19" s="23" t="str">
        <v>wt</v>
      </c>
    </row>
    <row r="20" spans="3:40" x14ac:dyDescent="0.25">
      <c r="C20" s="112" t="s">
        <v>55</v>
      </c>
      <c r="D20" s="112"/>
      <c r="E20" s="112"/>
      <c r="F20" s="112"/>
      <c r="G20" s="32" t="s">
        <v>17</v>
      </c>
      <c r="H20" s="32">
        <v>3</v>
      </c>
      <c r="I20" s="32" t="s">
        <v>18</v>
      </c>
      <c r="J20" s="32">
        <v>4</v>
      </c>
      <c r="K20" s="32" t="s">
        <v>19</v>
      </c>
      <c r="L20" s="32">
        <v>3</v>
      </c>
      <c r="N20" s="83"/>
      <c r="O20" s="89"/>
      <c r="P20" s="19" t="s">
        <v>93</v>
      </c>
      <c r="Q20" s="20">
        <f>Q17</f>
        <v>0.48472222222222222</v>
      </c>
      <c r="R20" s="20">
        <f>R17</f>
        <v>0.48958333333333331</v>
      </c>
      <c r="S20" s="20">
        <f>S17</f>
        <v>0.5</v>
      </c>
      <c r="T20" s="20">
        <v>0.5180555555555556</v>
      </c>
      <c r="U20" s="20">
        <f t="shared" si="0"/>
        <v>3.3333333333333381E-2</v>
      </c>
      <c r="V20" s="21">
        <f t="shared" si="1"/>
        <v>74.766666666604578</v>
      </c>
      <c r="W20" s="19"/>
      <c r="AM20" s="3" t="s">
        <v>56</v>
      </c>
      <c r="AN20" s="23" t="str">
        <v>ht</v>
      </c>
    </row>
    <row r="21" spans="3:40" x14ac:dyDescent="0.25">
      <c r="N21" s="83"/>
      <c r="O21" s="19" t="s">
        <v>54</v>
      </c>
      <c r="P21" s="19" t="s">
        <v>32</v>
      </c>
      <c r="Q21" s="20">
        <f>Q17</f>
        <v>0.48472222222222222</v>
      </c>
      <c r="R21" s="20">
        <f>R17</f>
        <v>0.48958333333333331</v>
      </c>
      <c r="S21" s="20">
        <f>S17</f>
        <v>0.5</v>
      </c>
      <c r="T21" s="20">
        <v>0.52500000000000002</v>
      </c>
      <c r="U21" s="20">
        <f t="shared" si="0"/>
        <v>4.0277777777777801E-2</v>
      </c>
      <c r="V21" s="21">
        <f t="shared" si="1"/>
        <v>74.933333333290648</v>
      </c>
      <c r="W21" s="19"/>
      <c r="AM21" s="3" t="s">
        <v>57</v>
      </c>
      <c r="AN21" s="23" t="str">
        <v>wt</v>
      </c>
    </row>
    <row r="22" spans="3:40" x14ac:dyDescent="0.25">
      <c r="C22" s="97" t="s">
        <v>58</v>
      </c>
      <c r="D22" s="97"/>
      <c r="E22" s="97"/>
      <c r="F22" s="97"/>
      <c r="G22" s="98">
        <v>2.0833333333333332E-2</v>
      </c>
      <c r="H22" s="98"/>
      <c r="I22" s="3" t="s">
        <v>59</v>
      </c>
      <c r="N22" s="83">
        <v>6</v>
      </c>
      <c r="O22" s="3" t="s">
        <v>56</v>
      </c>
      <c r="P22" s="3" t="s">
        <v>32</v>
      </c>
      <c r="Q22" s="28">
        <v>0.50208333333333333</v>
      </c>
      <c r="R22" s="28">
        <v>0.51041666666666663</v>
      </c>
      <c r="S22" s="28">
        <v>0.53125</v>
      </c>
      <c r="T22" s="28">
        <v>0.52986111111111112</v>
      </c>
      <c r="U22" s="28">
        <f t="shared" si="0"/>
        <v>2.777777777777779E-2</v>
      </c>
      <c r="V22" s="29">
        <f t="shared" si="1"/>
        <v>75.049999999988358</v>
      </c>
      <c r="AM22" s="3" t="s">
        <v>60</v>
      </c>
      <c r="AN22" s="23" t="str">
        <v>mt</v>
      </c>
    </row>
    <row r="23" spans="3:40" x14ac:dyDescent="0.25">
      <c r="N23" s="83"/>
      <c r="O23" s="3" t="s">
        <v>57</v>
      </c>
      <c r="P23" s="3" t="s">
        <v>32</v>
      </c>
      <c r="Q23" s="28">
        <f>Q22</f>
        <v>0.50208333333333333</v>
      </c>
      <c r="R23" s="28">
        <f>R22</f>
        <v>0.51041666666666663</v>
      </c>
      <c r="S23" s="28">
        <f>S22</f>
        <v>0.53125</v>
      </c>
      <c r="T23" s="28">
        <v>0.53402777777777777</v>
      </c>
      <c r="U23" s="28">
        <f t="shared" si="0"/>
        <v>3.1944444444444442E-2</v>
      </c>
      <c r="V23" s="29">
        <f t="shared" si="1"/>
        <v>75.149999999965075</v>
      </c>
      <c r="AM23" s="3" t="s">
        <v>61</v>
      </c>
      <c r="AN23" s="23" t="str">
        <v>X</v>
      </c>
    </row>
    <row r="24" spans="3:40" x14ac:dyDescent="0.25">
      <c r="N24" s="83"/>
      <c r="O24" s="90" t="s">
        <v>60</v>
      </c>
      <c r="P24" s="3" t="s">
        <v>32</v>
      </c>
      <c r="Q24" s="28">
        <f>Q22</f>
        <v>0.50208333333333333</v>
      </c>
      <c r="R24" s="28">
        <f>R22</f>
        <v>0.51041666666666663</v>
      </c>
      <c r="S24" s="28">
        <f>S22</f>
        <v>0.53125</v>
      </c>
      <c r="T24" s="28">
        <v>0.54097222222222219</v>
      </c>
      <c r="U24" s="28">
        <f t="shared" si="0"/>
        <v>3.8888888888888862E-2</v>
      </c>
      <c r="V24" s="29">
        <f t="shared" si="1"/>
        <v>75.316666666651145</v>
      </c>
      <c r="AM24" s="3" t="s">
        <v>62</v>
      </c>
      <c r="AN24" s="23" t="str">
        <v>X</v>
      </c>
    </row>
    <row r="25" spans="3:40" x14ac:dyDescent="0.25">
      <c r="N25" s="83"/>
      <c r="O25" s="90"/>
      <c r="P25" s="3" t="s">
        <v>93</v>
      </c>
      <c r="Q25" s="28">
        <f>Q22</f>
        <v>0.50208333333333333</v>
      </c>
      <c r="R25" s="28">
        <f>R22</f>
        <v>0.51041666666666663</v>
      </c>
      <c r="S25" s="28">
        <f>S22</f>
        <v>0.53125</v>
      </c>
      <c r="T25" s="28">
        <v>0.54375000000000007</v>
      </c>
      <c r="U25" s="28">
        <f t="shared" si="0"/>
        <v>4.1666666666666741E-2</v>
      </c>
      <c r="V25" s="29">
        <f t="shared" si="1"/>
        <v>75.383333333185874</v>
      </c>
      <c r="AM25" s="3" t="s">
        <v>63</v>
      </c>
      <c r="AN25" s="23" t="str">
        <f t="array" ref="AN25:AN34">TRANSPOSE(C10:L10)</f>
        <v>X</v>
      </c>
    </row>
    <row r="26" spans="3:40" x14ac:dyDescent="0.25">
      <c r="N26" s="47"/>
      <c r="O26" s="47"/>
      <c r="P26" s="47"/>
      <c r="Q26" s="47"/>
      <c r="R26" s="47"/>
      <c r="S26" s="47"/>
      <c r="T26" s="47"/>
      <c r="U26" s="47"/>
      <c r="V26" s="47"/>
      <c r="W26" s="47"/>
      <c r="AM26" s="3" t="s">
        <v>64</v>
      </c>
      <c r="AN26" s="23" t="str">
        <v>X</v>
      </c>
    </row>
    <row r="27" spans="3:40" x14ac:dyDescent="0.25">
      <c r="N27" s="47"/>
      <c r="O27" s="47"/>
      <c r="P27" s="47"/>
      <c r="Q27" s="47"/>
      <c r="R27" s="47"/>
      <c r="S27" s="47"/>
      <c r="T27" s="47"/>
      <c r="U27" s="47"/>
      <c r="V27" s="47"/>
      <c r="W27" s="47"/>
      <c r="AM27" s="3" t="s">
        <v>65</v>
      </c>
      <c r="AN27" s="23" t="str">
        <v>X</v>
      </c>
    </row>
    <row r="28" spans="3:40" ht="15" customHeight="1" x14ac:dyDescent="0.25">
      <c r="N28" s="47"/>
      <c r="O28" s="47"/>
      <c r="P28" s="47"/>
      <c r="Q28" s="47"/>
      <c r="R28" s="47"/>
      <c r="S28" s="47"/>
      <c r="T28" s="47"/>
      <c r="U28" s="47"/>
      <c r="V28" s="47"/>
      <c r="W28" s="47"/>
      <c r="AM28" s="3" t="s">
        <v>66</v>
      </c>
      <c r="AN28" s="23" t="str">
        <v>X</v>
      </c>
    </row>
    <row r="29" spans="3:40" x14ac:dyDescent="0.25">
      <c r="N29" s="47"/>
      <c r="O29" s="47"/>
      <c r="P29" s="47"/>
      <c r="Q29" s="47"/>
      <c r="R29" s="47"/>
      <c r="S29" s="47"/>
      <c r="T29" s="47"/>
      <c r="U29" s="47"/>
      <c r="V29" s="47"/>
      <c r="W29" s="47"/>
      <c r="AM29" s="3" t="s">
        <v>67</v>
      </c>
      <c r="AN29" s="23" t="str">
        <v>X</v>
      </c>
    </row>
    <row r="30" spans="3:40" x14ac:dyDescent="0.25">
      <c r="N30" s="47"/>
      <c r="O30" s="47"/>
      <c r="P30" s="47"/>
      <c r="Q30" s="47"/>
      <c r="R30" s="47"/>
      <c r="S30" s="47"/>
      <c r="T30" s="47"/>
      <c r="U30" s="47"/>
      <c r="V30" s="47"/>
      <c r="W30" s="47"/>
      <c r="AM30" s="3" t="s">
        <v>68</v>
      </c>
      <c r="AN30" s="23" t="str">
        <v>X</v>
      </c>
    </row>
    <row r="31" spans="3:40" x14ac:dyDescent="0.25">
      <c r="N31" s="47"/>
      <c r="O31" s="47"/>
      <c r="P31" s="47"/>
      <c r="Q31" s="47"/>
      <c r="R31" s="47"/>
      <c r="S31" s="47"/>
      <c r="T31" s="47"/>
      <c r="U31" s="47"/>
      <c r="V31" s="47"/>
      <c r="W31" s="47"/>
      <c r="AM31" s="3" t="s">
        <v>69</v>
      </c>
      <c r="AN31" s="23" t="str">
        <v>X</v>
      </c>
    </row>
    <row r="32" spans="3:40" x14ac:dyDescent="0.25">
      <c r="C32" s="46"/>
      <c r="D32" s="46"/>
      <c r="E32" s="46"/>
      <c r="F32" s="46"/>
      <c r="G32" s="46"/>
      <c r="H32" s="46"/>
      <c r="I32" s="46"/>
      <c r="J32" s="46"/>
      <c r="K32" s="46"/>
      <c r="L32" s="46"/>
      <c r="N32" s="47"/>
      <c r="O32" s="47"/>
      <c r="P32" s="47"/>
      <c r="Q32" s="47"/>
      <c r="R32" s="47"/>
      <c r="S32" s="47"/>
      <c r="T32" s="47"/>
      <c r="U32" s="47"/>
      <c r="V32" s="47"/>
      <c r="W32" s="47"/>
      <c r="AM32" s="3" t="s">
        <v>70</v>
      </c>
      <c r="AN32" s="23" t="str">
        <v>X</v>
      </c>
    </row>
    <row r="33" spans="14:40" x14ac:dyDescent="0.25">
      <c r="N33" s="47"/>
      <c r="O33" s="47"/>
      <c r="P33" s="47"/>
      <c r="Q33" s="47"/>
      <c r="R33" s="47"/>
      <c r="S33" s="47"/>
      <c r="T33" s="47"/>
      <c r="U33" s="47"/>
      <c r="V33" s="47"/>
      <c r="W33" s="47"/>
      <c r="AM33" s="3" t="s">
        <v>71</v>
      </c>
      <c r="AN33" s="23" t="str">
        <v>X</v>
      </c>
    </row>
    <row r="34" spans="14:40" x14ac:dyDescent="0.25">
      <c r="N34" s="47"/>
      <c r="O34" s="47"/>
      <c r="P34" s="47"/>
      <c r="Q34" s="47"/>
      <c r="R34" s="47"/>
      <c r="S34" s="47"/>
      <c r="T34" s="47"/>
      <c r="U34" s="47"/>
      <c r="V34" s="47"/>
      <c r="W34" s="47"/>
      <c r="AM34" s="3" t="s">
        <v>72</v>
      </c>
      <c r="AN34" s="23" t="str">
        <v>X</v>
      </c>
    </row>
    <row r="35" spans="14:40" x14ac:dyDescent="0.25">
      <c r="N35" s="47"/>
      <c r="Q35" s="28"/>
      <c r="R35" s="28"/>
      <c r="S35" s="28"/>
      <c r="T35" s="28"/>
      <c r="U35" s="28"/>
      <c r="V35" s="29"/>
      <c r="W35" s="30"/>
      <c r="AM35" s="3" t="s">
        <v>73</v>
      </c>
      <c r="AN35" s="23" t="str">
        <f t="array" ref="AN35:AN44">TRANSPOSE(C12:L12)</f>
        <v>X</v>
      </c>
    </row>
    <row r="36" spans="14:40" x14ac:dyDescent="0.25">
      <c r="N36" s="47"/>
      <c r="Q36" s="28"/>
      <c r="R36" s="28"/>
      <c r="S36" s="28"/>
      <c r="T36" s="28"/>
      <c r="U36" s="28"/>
      <c r="V36" s="29"/>
      <c r="W36" s="30"/>
      <c r="AM36" s="3" t="s">
        <v>74</v>
      </c>
      <c r="AN36" s="23" t="str">
        <v>X</v>
      </c>
    </row>
    <row r="37" spans="14:40" ht="15" customHeight="1" x14ac:dyDescent="0.25">
      <c r="N37" s="47"/>
      <c r="Q37" s="28"/>
      <c r="R37" s="28"/>
      <c r="S37" s="28"/>
      <c r="T37" s="28"/>
      <c r="U37" s="28"/>
      <c r="V37" s="29"/>
      <c r="W37" s="30"/>
      <c r="AM37" s="3" t="s">
        <v>75</v>
      </c>
      <c r="AN37" s="23" t="str">
        <v>X</v>
      </c>
    </row>
    <row r="38" spans="14:40" x14ac:dyDescent="0.25">
      <c r="N38" s="47"/>
      <c r="Q38" s="28"/>
      <c r="R38" s="28"/>
      <c r="S38" s="28"/>
      <c r="T38" s="28"/>
      <c r="U38" s="28"/>
      <c r="V38" s="29"/>
      <c r="W38" s="30"/>
      <c r="AM38" s="3" t="s">
        <v>76</v>
      </c>
      <c r="AN38" s="23" t="str">
        <v>X</v>
      </c>
    </row>
    <row r="39" spans="14:40" x14ac:dyDescent="0.25">
      <c r="N39" s="47"/>
      <c r="Q39" s="28"/>
      <c r="R39" s="28"/>
      <c r="S39" s="28"/>
      <c r="T39" s="28"/>
      <c r="U39" s="28"/>
      <c r="V39" s="29"/>
      <c r="W39" s="30"/>
      <c r="AM39" s="3" t="s">
        <v>77</v>
      </c>
      <c r="AN39" s="23" t="str">
        <v>X</v>
      </c>
    </row>
    <row r="40" spans="14:40" x14ac:dyDescent="0.25">
      <c r="N40" s="47"/>
      <c r="Q40" s="28"/>
      <c r="R40" s="28"/>
      <c r="S40" s="28"/>
      <c r="T40" s="28"/>
      <c r="U40" s="28"/>
      <c r="V40" s="29"/>
      <c r="W40" s="30"/>
      <c r="AM40" s="3" t="s">
        <v>78</v>
      </c>
      <c r="AN40" s="23" t="str">
        <v>X</v>
      </c>
    </row>
    <row r="41" spans="14:40" x14ac:dyDescent="0.25">
      <c r="N41" s="47"/>
      <c r="Q41" s="28"/>
      <c r="R41" s="28"/>
      <c r="S41" s="28"/>
      <c r="T41" s="28"/>
      <c r="U41" s="28"/>
      <c r="V41" s="29"/>
      <c r="W41" s="30"/>
      <c r="AM41" s="3" t="s">
        <v>79</v>
      </c>
      <c r="AN41" s="23" t="str">
        <v>X</v>
      </c>
    </row>
    <row r="42" spans="14:40" x14ac:dyDescent="0.25">
      <c r="N42" s="47"/>
      <c r="Q42" s="28"/>
      <c r="R42" s="28"/>
      <c r="S42" s="28"/>
      <c r="T42" s="28"/>
      <c r="U42" s="28"/>
      <c r="V42" s="29"/>
      <c r="W42" s="30"/>
      <c r="AM42" s="3" t="s">
        <v>80</v>
      </c>
      <c r="AN42" s="23" t="str">
        <v>X</v>
      </c>
    </row>
    <row r="43" spans="14:40" x14ac:dyDescent="0.25">
      <c r="N43" s="47"/>
      <c r="Q43" s="28"/>
      <c r="R43" s="28"/>
      <c r="S43" s="28"/>
      <c r="T43" s="28"/>
      <c r="U43" s="28"/>
      <c r="V43" s="29"/>
      <c r="W43" s="30"/>
      <c r="AM43" s="3" t="s">
        <v>81</v>
      </c>
      <c r="AN43" s="23" t="str">
        <v>X</v>
      </c>
    </row>
    <row r="44" spans="14:40" x14ac:dyDescent="0.25">
      <c r="N44" s="47"/>
      <c r="Q44" s="28"/>
      <c r="R44" s="28"/>
      <c r="S44" s="28"/>
      <c r="T44" s="28"/>
      <c r="U44" s="28"/>
      <c r="V44" s="29"/>
      <c r="W44" s="30"/>
      <c r="AM44" s="3" t="s">
        <v>82</v>
      </c>
      <c r="AN44" s="23" t="str">
        <v>X</v>
      </c>
    </row>
    <row r="45" spans="14:40" x14ac:dyDescent="0.25">
      <c r="N45" s="47"/>
      <c r="O45" s="47"/>
      <c r="P45" s="47"/>
      <c r="Q45" s="47"/>
      <c r="R45" s="47"/>
      <c r="S45" s="47"/>
      <c r="T45" s="47"/>
      <c r="U45" s="47"/>
      <c r="V45" s="47"/>
      <c r="W45" s="47"/>
    </row>
    <row r="46" spans="14:40" x14ac:dyDescent="0.25">
      <c r="N46" s="47"/>
      <c r="O46" s="47"/>
      <c r="P46" s="47"/>
      <c r="Q46" s="47"/>
      <c r="R46" s="47"/>
      <c r="S46" s="47"/>
      <c r="T46" s="47"/>
      <c r="U46" s="47"/>
      <c r="V46" s="47"/>
      <c r="W46" s="47"/>
    </row>
    <row r="47" spans="14:40" x14ac:dyDescent="0.25">
      <c r="N47" s="47"/>
      <c r="O47" s="47"/>
      <c r="P47" s="47"/>
      <c r="Q47" s="47"/>
      <c r="R47" s="47"/>
      <c r="S47" s="47"/>
      <c r="T47" s="47"/>
      <c r="U47" s="47"/>
      <c r="V47" s="47"/>
      <c r="W47" s="47"/>
    </row>
    <row r="48" spans="14:40" x14ac:dyDescent="0.25">
      <c r="N48" s="47"/>
      <c r="O48" s="47"/>
      <c r="P48" s="47"/>
      <c r="Q48" s="47"/>
      <c r="R48" s="47"/>
      <c r="S48" s="47"/>
      <c r="T48" s="47"/>
      <c r="U48" s="47"/>
      <c r="V48" s="47"/>
      <c r="W48" s="47"/>
    </row>
    <row r="49" spans="14:23" x14ac:dyDescent="0.25">
      <c r="N49" s="47"/>
      <c r="O49" s="47"/>
      <c r="P49" s="47"/>
      <c r="Q49" s="47"/>
      <c r="R49" s="47"/>
      <c r="S49" s="47"/>
      <c r="T49" s="47"/>
      <c r="U49" s="47"/>
      <c r="V49" s="47"/>
      <c r="W49" s="47"/>
    </row>
    <row r="50" spans="14:23" x14ac:dyDescent="0.25">
      <c r="N50" s="47"/>
      <c r="O50" s="47"/>
      <c r="P50" s="47"/>
      <c r="Q50" s="47"/>
      <c r="R50" s="47"/>
      <c r="S50" s="47"/>
      <c r="T50" s="47"/>
      <c r="U50" s="47"/>
      <c r="V50" s="47"/>
      <c r="W50" s="47"/>
    </row>
    <row r="51" spans="14:23" x14ac:dyDescent="0.25">
      <c r="N51" s="47"/>
      <c r="O51" s="47"/>
      <c r="P51" s="47"/>
      <c r="Q51" s="47"/>
      <c r="R51" s="47"/>
      <c r="S51" s="47"/>
      <c r="T51" s="47"/>
      <c r="U51" s="47"/>
      <c r="V51" s="47"/>
      <c r="W51" s="47"/>
    </row>
    <row r="52" spans="14:23" x14ac:dyDescent="0.25">
      <c r="N52" s="47"/>
      <c r="O52" s="47"/>
      <c r="P52" s="47"/>
      <c r="Q52" s="47"/>
      <c r="R52" s="47"/>
      <c r="S52" s="47"/>
      <c r="T52" s="47"/>
      <c r="U52" s="47"/>
      <c r="V52" s="47"/>
      <c r="W52" s="47"/>
    </row>
    <row r="53" spans="14:23" x14ac:dyDescent="0.25">
      <c r="N53" s="47"/>
      <c r="O53" s="47"/>
      <c r="P53" s="47"/>
      <c r="Q53" s="47"/>
      <c r="R53" s="47"/>
      <c r="S53" s="47"/>
      <c r="T53" s="47"/>
      <c r="U53" s="47"/>
      <c r="V53" s="47"/>
      <c r="W53" s="47"/>
    </row>
    <row r="54" spans="14:23" x14ac:dyDescent="0.25">
      <c r="N54" s="47"/>
      <c r="O54" s="47"/>
      <c r="P54" s="47"/>
      <c r="Q54" s="47"/>
      <c r="R54" s="47"/>
      <c r="S54" s="47"/>
      <c r="T54" s="47"/>
      <c r="U54" s="47"/>
      <c r="V54" s="47"/>
      <c r="W54" s="47"/>
    </row>
    <row r="55" spans="14:23" x14ac:dyDescent="0.25">
      <c r="N55" s="47"/>
      <c r="O55" s="47"/>
      <c r="P55" s="47"/>
      <c r="Q55" s="47"/>
      <c r="R55" s="47"/>
      <c r="S55" s="47"/>
      <c r="T55" s="47"/>
      <c r="U55" s="47"/>
      <c r="V55" s="47"/>
      <c r="W55" s="47"/>
    </row>
    <row r="56" spans="14:23" x14ac:dyDescent="0.25">
      <c r="N56" s="47"/>
      <c r="O56" s="47"/>
      <c r="P56" s="47"/>
      <c r="Q56" s="47"/>
      <c r="R56" s="47"/>
      <c r="S56" s="47"/>
      <c r="T56" s="47"/>
      <c r="U56" s="47"/>
      <c r="V56" s="47"/>
      <c r="W56" s="47"/>
    </row>
  </sheetData>
  <mergeCells count="31">
    <mergeCell ref="B6:B9"/>
    <mergeCell ref="B10:B12"/>
    <mergeCell ref="Q1:R1"/>
    <mergeCell ref="U1:V1"/>
    <mergeCell ref="AI2:AK2"/>
    <mergeCell ref="K3:L3"/>
    <mergeCell ref="O3:O4"/>
    <mergeCell ref="P3:P4"/>
    <mergeCell ref="Q3:T3"/>
    <mergeCell ref="U3:U4"/>
    <mergeCell ref="V3:V4"/>
    <mergeCell ref="W3:W4"/>
    <mergeCell ref="C4:H4"/>
    <mergeCell ref="K4:L4"/>
    <mergeCell ref="N5:N7"/>
    <mergeCell ref="N8:N10"/>
    <mergeCell ref="N11:N13"/>
    <mergeCell ref="O19:O20"/>
    <mergeCell ref="O24:O25"/>
    <mergeCell ref="N17:N21"/>
    <mergeCell ref="N22:N25"/>
    <mergeCell ref="C17:L17"/>
    <mergeCell ref="C18:L18"/>
    <mergeCell ref="C20:F20"/>
    <mergeCell ref="C22:F22"/>
    <mergeCell ref="G22:H22"/>
    <mergeCell ref="N14:N16"/>
    <mergeCell ref="F15:G15"/>
    <mergeCell ref="K15:L15"/>
    <mergeCell ref="K16:L16"/>
    <mergeCell ref="O17:O18"/>
  </mergeCells>
  <conditionalFormatting sqref="A86:M1048576 A75:A85 A62:M74 M31:M33 A11:A17 M47:M48 N57:N1048576 AI9:AL1048576 AI1:AL1 A32:B32 A47:L47 AO1:XFD1048576 AL2:AL8 M2:M16 X1:X14 X16:X1048576 U2 O1:P1 O2 B15:B16 C19:L19 G22">
    <cfRule type="containsText" dxfId="1737" priority="500" operator="containsText" text="ht">
      <formula>NOT(ISERROR(SEARCH("ht",A1)))</formula>
    </cfRule>
    <cfRule type="containsText" dxfId="1736" priority="501" operator="containsText" text="mt">
      <formula>NOT(ISERROR(SEARCH("mt",A1)))</formula>
    </cfRule>
    <cfRule type="containsText" dxfId="1735" priority="502" operator="containsText" text="wt">
      <formula>NOT(ISERROR(SEARCH("wt",A1)))</formula>
    </cfRule>
  </conditionalFormatting>
  <conditionalFormatting sqref="B13:B14 F13:J13">
    <cfRule type="containsText" dxfId="1734" priority="497" operator="containsText" text="ht">
      <formula>NOT(ISERROR(SEARCH("ht",B13)))</formula>
    </cfRule>
    <cfRule type="containsText" dxfId="1733" priority="498" operator="containsText" text="mt">
      <formula>NOT(ISERROR(SEARCH("mt",B13)))</formula>
    </cfRule>
    <cfRule type="containsText" dxfId="1732" priority="499" operator="containsText" text="wt">
      <formula>NOT(ISERROR(SEARCH("wt",B13)))</formula>
    </cfRule>
  </conditionalFormatting>
  <conditionalFormatting sqref="C13 E13">
    <cfRule type="containsText" dxfId="1731" priority="494" operator="containsText" text="ht">
      <formula>NOT(ISERROR(SEARCH("ht",C13)))</formula>
    </cfRule>
    <cfRule type="containsText" dxfId="1730" priority="495" operator="containsText" text="mt">
      <formula>NOT(ISERROR(SEARCH("mt",C13)))</formula>
    </cfRule>
    <cfRule type="containsText" dxfId="1729" priority="496" operator="containsText" text="wt">
      <formula>NOT(ISERROR(SEARCH("wt",C13)))</formula>
    </cfRule>
  </conditionalFormatting>
  <conditionalFormatting sqref="K13:L13">
    <cfRule type="containsText" dxfId="1728" priority="491" operator="containsText" text="ht">
      <formula>NOT(ISERROR(SEARCH("ht",K13)))</formula>
    </cfRule>
    <cfRule type="containsText" dxfId="1727" priority="492" operator="containsText" text="mt">
      <formula>NOT(ISERROR(SEARCH("mt",K13)))</formula>
    </cfRule>
    <cfRule type="containsText" dxfId="1726" priority="493" operator="containsText" text="wt">
      <formula>NOT(ISERROR(SEARCH("wt",K13)))</formula>
    </cfRule>
  </conditionalFormatting>
  <conditionalFormatting sqref="M19:M30">
    <cfRule type="containsText" dxfId="1725" priority="488" operator="containsText" text="ht">
      <formula>NOT(ISERROR(SEARCH("ht",M19)))</formula>
    </cfRule>
    <cfRule type="containsText" dxfId="1724" priority="489" operator="containsText" text="mt">
      <formula>NOT(ISERROR(SEARCH("mt",M19)))</formula>
    </cfRule>
    <cfRule type="containsText" dxfId="1723" priority="490" operator="containsText" text="wt">
      <formula>NOT(ISERROR(SEARCH("wt",M19)))</formula>
    </cfRule>
  </conditionalFormatting>
  <conditionalFormatting sqref="M35:M46">
    <cfRule type="containsText" dxfId="1722" priority="485" operator="containsText" text="ht">
      <formula>NOT(ISERROR(SEARCH("ht",M35)))</formula>
    </cfRule>
    <cfRule type="containsText" dxfId="1721" priority="486" operator="containsText" text="mt">
      <formula>NOT(ISERROR(SEARCH("mt",M35)))</formula>
    </cfRule>
    <cfRule type="containsText" dxfId="1720" priority="487" operator="containsText" text="wt">
      <formula>NOT(ISERROR(SEARCH("wt",M35)))</formula>
    </cfRule>
  </conditionalFormatting>
  <conditionalFormatting sqref="M50:M61">
    <cfRule type="containsText" dxfId="1719" priority="482" operator="containsText" text="ht">
      <formula>NOT(ISERROR(SEARCH("ht",M50)))</formula>
    </cfRule>
    <cfRule type="containsText" dxfId="1718" priority="483" operator="containsText" text="mt">
      <formula>NOT(ISERROR(SEARCH("mt",M50)))</formula>
    </cfRule>
    <cfRule type="containsText" dxfId="1717" priority="484" operator="containsText" text="wt">
      <formula>NOT(ISERROR(SEARCH("wt",M50)))</formula>
    </cfRule>
  </conditionalFormatting>
  <conditionalFormatting sqref="M18">
    <cfRule type="containsText" dxfId="1716" priority="479" operator="containsText" text="ht">
      <formula>NOT(ISERROR(SEARCH("ht",M18)))</formula>
    </cfRule>
    <cfRule type="containsText" dxfId="1715" priority="480" operator="containsText" text="mt">
      <formula>NOT(ISERROR(SEARCH("mt",M18)))</formula>
    </cfRule>
    <cfRule type="containsText" dxfId="1714" priority="481" operator="containsText" text="wt">
      <formula>NOT(ISERROR(SEARCH("wt",M18)))</formula>
    </cfRule>
  </conditionalFormatting>
  <conditionalFormatting sqref="M34">
    <cfRule type="containsText" dxfId="1713" priority="476" operator="containsText" text="ht">
      <formula>NOT(ISERROR(SEARCH("ht",M34)))</formula>
    </cfRule>
    <cfRule type="containsText" dxfId="1712" priority="477" operator="containsText" text="mt">
      <formula>NOT(ISERROR(SEARCH("mt",M34)))</formula>
    </cfRule>
    <cfRule type="containsText" dxfId="1711" priority="478" operator="containsText" text="wt">
      <formula>NOT(ISERROR(SEARCH("wt",M34)))</formula>
    </cfRule>
  </conditionalFormatting>
  <conditionalFormatting sqref="M49">
    <cfRule type="containsText" dxfId="1710" priority="473" operator="containsText" text="ht">
      <formula>NOT(ISERROR(SEARCH("ht",M49)))</formula>
    </cfRule>
    <cfRule type="containsText" dxfId="1709" priority="474" operator="containsText" text="mt">
      <formula>NOT(ISERROR(SEARCH("mt",M49)))</formula>
    </cfRule>
    <cfRule type="containsText" dxfId="1708" priority="475" operator="containsText" text="wt">
      <formula>NOT(ISERROR(SEARCH("wt",M49)))</formula>
    </cfRule>
  </conditionalFormatting>
  <conditionalFormatting sqref="N1:N4 N41">
    <cfRule type="containsText" dxfId="1707" priority="470" operator="containsText" text="ht">
      <formula>NOT(ISERROR(SEARCH("ht",N1)))</formula>
    </cfRule>
    <cfRule type="containsText" dxfId="1706" priority="471" operator="containsText" text="mt">
      <formula>NOT(ISERROR(SEARCH("mt",N1)))</formula>
    </cfRule>
    <cfRule type="containsText" dxfId="1705" priority="472" operator="containsText" text="wt">
      <formula>NOT(ISERROR(SEARCH("wt",N1)))</formula>
    </cfRule>
  </conditionalFormatting>
  <conditionalFormatting sqref="AF3">
    <cfRule type="containsText" dxfId="1704" priority="454" operator="containsText" text="ht">
      <formula>NOT(ISERROR(SEARCH("ht",AF3)))</formula>
    </cfRule>
    <cfRule type="containsText" dxfId="1703" priority="455" operator="containsText" text="mt">
      <formula>NOT(ISERROR(SEARCH("mt",AF3)))</formula>
    </cfRule>
    <cfRule type="containsText" dxfId="1702" priority="456" operator="containsText" text="wt">
      <formula>NOT(ISERROR(SEARCH("wt",AF3)))</formula>
    </cfRule>
  </conditionalFormatting>
  <conditionalFormatting sqref="AA4">
    <cfRule type="cellIs" dxfId="1701" priority="417" operator="equal">
      <formula>61</formula>
    </cfRule>
    <cfRule type="cellIs" dxfId="1700" priority="418" operator="equal">
      <formula>63</formula>
    </cfRule>
    <cfRule type="cellIs" dxfId="1699" priority="419" operator="equal">
      <formula>21</formula>
    </cfRule>
    <cfRule type="cellIs" dxfId="1698" priority="420" operator="equal">
      <formula>120</formula>
    </cfRule>
    <cfRule type="cellIs" dxfId="1697" priority="421" operator="equal">
      <formula>96</formula>
    </cfRule>
    <cfRule type="cellIs" dxfId="1696" priority="422" operator="equal">
      <formula>72</formula>
    </cfRule>
    <cfRule type="cellIs" dxfId="1695" priority="423" operator="equal">
      <formula>55</formula>
    </cfRule>
    <cfRule type="cellIs" dxfId="1694" priority="424" operator="equal">
      <formula>50</formula>
    </cfRule>
    <cfRule type="cellIs" dxfId="1693" priority="425" operator="equal">
      <formula>48</formula>
    </cfRule>
    <cfRule type="cellIs" dxfId="1692" priority="426" operator="equal">
      <formula>30</formula>
    </cfRule>
    <cfRule type="cellIs" dxfId="1691" priority="427" operator="equal">
      <formula>26</formula>
    </cfRule>
    <cfRule type="cellIs" dxfId="1690" priority="428" operator="equal">
      <formula>24</formula>
    </cfRule>
    <cfRule type="cellIs" dxfId="1689" priority="429" operator="equal">
      <formula>18</formula>
    </cfRule>
    <cfRule type="cellIs" dxfId="1688" priority="430" operator="equal">
      <formula>6</formula>
    </cfRule>
  </conditionalFormatting>
  <conditionalFormatting sqref="Y1:AA2 Y14:AA1048576 Y9:Z13 AC9:AG1048576 AC1:AG2">
    <cfRule type="containsText" dxfId="1687" priority="467" operator="containsText" text="ht">
      <formula>NOT(ISERROR(SEARCH("ht",Y1)))</formula>
    </cfRule>
    <cfRule type="containsText" dxfId="1686" priority="468" operator="containsText" text="mt">
      <formula>NOT(ISERROR(SEARCH("mt",Y1)))</formula>
    </cfRule>
    <cfRule type="containsText" dxfId="1685" priority="469" operator="containsText" text="wt">
      <formula>NOT(ISERROR(SEARCH("wt",Y1)))</formula>
    </cfRule>
  </conditionalFormatting>
  <conditionalFormatting sqref="Y4 AC4:AG4">
    <cfRule type="containsText" dxfId="1684" priority="464" operator="containsText" text="ht">
      <formula>NOT(ISERROR(SEARCH("ht",Y4)))</formula>
    </cfRule>
    <cfRule type="containsText" dxfId="1683" priority="465" operator="containsText" text="mt">
      <formula>NOT(ISERROR(SEARCH("mt",Y4)))</formula>
    </cfRule>
    <cfRule type="containsText" dxfId="1682" priority="466" operator="containsText" text="wt">
      <formula>NOT(ISERROR(SEARCH("wt",Y4)))</formula>
    </cfRule>
  </conditionalFormatting>
  <conditionalFormatting sqref="AE3:AG3">
    <cfRule type="containsText" dxfId="1681" priority="461" operator="containsText" text="ht">
      <formula>NOT(ISERROR(SEARCH("ht",AE3)))</formula>
    </cfRule>
    <cfRule type="containsText" dxfId="1680" priority="462" operator="containsText" text="mt">
      <formula>NOT(ISERROR(SEARCH("mt",AE3)))</formula>
    </cfRule>
    <cfRule type="containsText" dxfId="1679" priority="463" operator="containsText" text="wt">
      <formula>NOT(ISERROR(SEARCH("wt",AE3)))</formula>
    </cfRule>
  </conditionalFormatting>
  <conditionalFormatting sqref="AE3:AG3">
    <cfRule type="cellIs" dxfId="1678" priority="460" operator="equal">
      <formula>"?"</formula>
    </cfRule>
  </conditionalFormatting>
  <conditionalFormatting sqref="AE3">
    <cfRule type="containsText" dxfId="1677" priority="457" operator="containsText" text="ht">
      <formula>NOT(ISERROR(SEARCH("ht",AE3)))</formula>
    </cfRule>
    <cfRule type="containsText" dxfId="1676" priority="458" operator="containsText" text="mt">
      <formula>NOT(ISERROR(SEARCH("mt",AE3)))</formula>
    </cfRule>
    <cfRule type="containsText" dxfId="1675" priority="459" operator="containsText" text="wt">
      <formula>NOT(ISERROR(SEARCH("wt",AE3)))</formula>
    </cfRule>
  </conditionalFormatting>
  <conditionalFormatting sqref="AG3">
    <cfRule type="containsText" dxfId="1674" priority="451" operator="containsText" text="ht">
      <formula>NOT(ISERROR(SEARCH("ht",AG3)))</formula>
    </cfRule>
    <cfRule type="containsText" dxfId="1673" priority="452" operator="containsText" text="mt">
      <formula>NOT(ISERROR(SEARCH("mt",AG3)))</formula>
    </cfRule>
    <cfRule type="containsText" dxfId="1672" priority="453" operator="containsText" text="wt">
      <formula>NOT(ISERROR(SEARCH("wt",AG3)))</formula>
    </cfRule>
  </conditionalFormatting>
  <conditionalFormatting sqref="AD3">
    <cfRule type="containsText" dxfId="1671" priority="448" operator="containsText" text="ht">
      <formula>NOT(ISERROR(SEARCH("ht",AD3)))</formula>
    </cfRule>
    <cfRule type="containsText" dxfId="1670" priority="449" operator="containsText" text="mt">
      <formula>NOT(ISERROR(SEARCH("mt",AD3)))</formula>
    </cfRule>
    <cfRule type="containsText" dxfId="1669" priority="450" operator="containsText" text="wt">
      <formula>NOT(ISERROR(SEARCH("wt",AD3)))</formula>
    </cfRule>
  </conditionalFormatting>
  <conditionalFormatting sqref="AD3">
    <cfRule type="cellIs" dxfId="1668" priority="447" operator="equal">
      <formula>"?"</formula>
    </cfRule>
  </conditionalFormatting>
  <conditionalFormatting sqref="Z3">
    <cfRule type="containsText" dxfId="1667" priority="444" operator="containsText" text="ht">
      <formula>NOT(ISERROR(SEARCH("ht",Z3)))</formula>
    </cfRule>
    <cfRule type="containsText" dxfId="1666" priority="445" operator="containsText" text="mt">
      <formula>NOT(ISERROR(SEARCH("mt",Z3)))</formula>
    </cfRule>
    <cfRule type="containsText" dxfId="1665" priority="446" operator="containsText" text="wt">
      <formula>NOT(ISERROR(SEARCH("wt",Z3)))</formula>
    </cfRule>
  </conditionalFormatting>
  <conditionalFormatting sqref="Z3">
    <cfRule type="cellIs" dxfId="1664" priority="443" operator="equal">
      <formula>"?"</formula>
    </cfRule>
  </conditionalFormatting>
  <conditionalFormatting sqref="AA3">
    <cfRule type="containsText" dxfId="1663" priority="440" operator="containsText" text="ht">
      <formula>NOT(ISERROR(SEARCH("ht",AA3)))</formula>
    </cfRule>
    <cfRule type="containsText" dxfId="1662" priority="441" operator="containsText" text="mt">
      <formula>NOT(ISERROR(SEARCH("mt",AA3)))</formula>
    </cfRule>
    <cfRule type="containsText" dxfId="1661" priority="442" operator="containsText" text="wt">
      <formula>NOT(ISERROR(SEARCH("wt",AA3)))</formula>
    </cfRule>
  </conditionalFormatting>
  <conditionalFormatting sqref="AA3">
    <cfRule type="cellIs" dxfId="1660" priority="439" operator="equal">
      <formula>"?"</formula>
    </cfRule>
  </conditionalFormatting>
  <conditionalFormatting sqref="AC3">
    <cfRule type="containsText" dxfId="1659" priority="436" operator="containsText" text="ht">
      <formula>NOT(ISERROR(SEARCH("ht",AC3)))</formula>
    </cfRule>
    <cfRule type="containsText" dxfId="1658" priority="437" operator="containsText" text="mt">
      <formula>NOT(ISERROR(SEARCH("mt",AC3)))</formula>
    </cfRule>
    <cfRule type="containsText" dxfId="1657" priority="438" operator="containsText" text="wt">
      <formula>NOT(ISERROR(SEARCH("wt",AC3)))</formula>
    </cfRule>
  </conditionalFormatting>
  <conditionalFormatting sqref="AC3">
    <cfRule type="cellIs" dxfId="1656" priority="435" operator="equal">
      <formula>"?"</formula>
    </cfRule>
  </conditionalFormatting>
  <conditionalFormatting sqref="Y3">
    <cfRule type="containsText" dxfId="1655" priority="432" operator="containsText" text="ht">
      <formula>NOT(ISERROR(SEARCH("ht",Y3)))</formula>
    </cfRule>
    <cfRule type="containsText" dxfId="1654" priority="433" operator="containsText" text="mt">
      <formula>NOT(ISERROR(SEARCH("mt",Y3)))</formula>
    </cfRule>
    <cfRule type="containsText" dxfId="1653" priority="434" operator="containsText" text="wt">
      <formula>NOT(ISERROR(SEARCH("wt",Y3)))</formula>
    </cfRule>
  </conditionalFormatting>
  <conditionalFormatting sqref="Y3">
    <cfRule type="cellIs" dxfId="1652" priority="431" operator="equal">
      <formula>"?"</formula>
    </cfRule>
  </conditionalFormatting>
  <conditionalFormatting sqref="AH17 AH27:AH1048576">
    <cfRule type="containsText" dxfId="1651" priority="414" operator="containsText" text="ht">
      <formula>NOT(ISERROR(SEARCH("ht",AH17)))</formula>
    </cfRule>
    <cfRule type="containsText" dxfId="1650" priority="415" operator="containsText" text="mt">
      <formula>NOT(ISERROR(SEARCH("mt",AH17)))</formula>
    </cfRule>
    <cfRule type="containsText" dxfId="1649" priority="416" operator="containsText" text="wt">
      <formula>NOT(ISERROR(SEARCH("wt",AH17)))</formula>
    </cfRule>
  </conditionalFormatting>
  <conditionalFormatting sqref="AH9:AH16">
    <cfRule type="containsText" dxfId="1648" priority="411" operator="containsText" text="ht">
      <formula>NOT(ISERROR(SEARCH("ht",AH9)))</formula>
    </cfRule>
    <cfRule type="containsText" dxfId="1647" priority="412" operator="containsText" text="mt">
      <formula>NOT(ISERROR(SEARCH("mt",AH9)))</formula>
    </cfRule>
    <cfRule type="containsText" dxfId="1646" priority="413" operator="containsText" text="wt">
      <formula>NOT(ISERROR(SEARCH("wt",AH9)))</formula>
    </cfRule>
  </conditionalFormatting>
  <conditionalFormatting sqref="AH3">
    <cfRule type="cellIs" dxfId="1645" priority="407" operator="equal">
      <formula>"?"</formula>
    </cfRule>
  </conditionalFormatting>
  <conditionalFormatting sqref="AH3">
    <cfRule type="containsText" dxfId="1644" priority="408" operator="containsText" text="ht">
      <formula>NOT(ISERROR(SEARCH("ht",AH3)))</formula>
    </cfRule>
    <cfRule type="containsText" dxfId="1643" priority="409" operator="containsText" text="mt">
      <formula>NOT(ISERROR(SEARCH("mt",AH3)))</formula>
    </cfRule>
    <cfRule type="containsText" dxfId="1642" priority="410" operator="containsText" text="wt">
      <formula>NOT(ISERROR(SEARCH("wt",AH3)))</formula>
    </cfRule>
  </conditionalFormatting>
  <conditionalFormatting sqref="AH1:AH3 AH9:AH1048576">
    <cfRule type="containsText" dxfId="1641" priority="405" operator="containsText" text="YES">
      <formula>NOT(ISERROR(SEARCH("YES",AH1)))</formula>
    </cfRule>
    <cfRule type="containsText" dxfId="1640" priority="406" operator="containsText" text="NO">
      <formula>NOT(ISERROR(SEARCH("NO",AH1)))</formula>
    </cfRule>
  </conditionalFormatting>
  <conditionalFormatting sqref="AH4">
    <cfRule type="containsText" dxfId="1639" priority="402" operator="containsText" text="ht">
      <formula>NOT(ISERROR(SEARCH("ht",AH4)))</formula>
    </cfRule>
    <cfRule type="containsText" dxfId="1638" priority="403" operator="containsText" text="mt">
      <formula>NOT(ISERROR(SEARCH("mt",AH4)))</formula>
    </cfRule>
    <cfRule type="containsText" dxfId="1637" priority="404" operator="containsText" text="wt">
      <formula>NOT(ISERROR(SEARCH("wt",AH4)))</formula>
    </cfRule>
  </conditionalFormatting>
  <conditionalFormatting sqref="AH4">
    <cfRule type="containsText" dxfId="1636" priority="400" operator="containsText" text="YES">
      <formula>NOT(ISERROR(SEARCH("YES",AH4)))</formula>
    </cfRule>
    <cfRule type="containsText" dxfId="1635" priority="401" operator="containsText" text="NO">
      <formula>NOT(ISERROR(SEARCH("NO",AH4)))</formula>
    </cfRule>
  </conditionalFormatting>
  <conditionalFormatting sqref="AH4">
    <cfRule type="containsText" dxfId="1634" priority="399" operator="containsText" text="YES?">
      <formula>NOT(ISERROR(SEARCH("YES?",AH4)))</formula>
    </cfRule>
  </conditionalFormatting>
  <conditionalFormatting sqref="A23:L30 A18:B22">
    <cfRule type="containsText" dxfId="1633" priority="396" operator="containsText" text="ht">
      <formula>NOT(ISERROR(SEARCH("ht",A18)))</formula>
    </cfRule>
    <cfRule type="containsText" dxfId="1632" priority="397" operator="containsText" text="mt">
      <formula>NOT(ISERROR(SEARCH("mt",A18)))</formula>
    </cfRule>
    <cfRule type="containsText" dxfId="1631" priority="398" operator="containsText" text="wt">
      <formula>NOT(ISERROR(SEARCH("wt",A18)))</formula>
    </cfRule>
  </conditionalFormatting>
  <conditionalFormatting sqref="A33:L45">
    <cfRule type="containsText" dxfId="1630" priority="393" operator="containsText" text="ht">
      <formula>NOT(ISERROR(SEARCH("ht",A33)))</formula>
    </cfRule>
    <cfRule type="containsText" dxfId="1629" priority="394" operator="containsText" text="mt">
      <formula>NOT(ISERROR(SEARCH("mt",A33)))</formula>
    </cfRule>
    <cfRule type="containsText" dxfId="1628" priority="395" operator="containsText" text="wt">
      <formula>NOT(ISERROR(SEARCH("wt",A33)))</formula>
    </cfRule>
  </conditionalFormatting>
  <conditionalFormatting sqref="A48:L60">
    <cfRule type="containsText" dxfId="1627" priority="390" operator="containsText" text="ht">
      <formula>NOT(ISERROR(SEARCH("ht",A48)))</formula>
    </cfRule>
    <cfRule type="containsText" dxfId="1626" priority="391" operator="containsText" text="mt">
      <formula>NOT(ISERROR(SEARCH("mt",A48)))</formula>
    </cfRule>
    <cfRule type="containsText" dxfId="1625" priority="392" operator="containsText" text="wt">
      <formula>NOT(ISERROR(SEARCH("wt",A48)))</formula>
    </cfRule>
  </conditionalFormatting>
  <conditionalFormatting sqref="G20">
    <cfRule type="containsText" dxfId="1624" priority="387" operator="containsText" text="ht">
      <formula>NOT(ISERROR(SEARCH("ht",G20)))</formula>
    </cfRule>
    <cfRule type="containsText" dxfId="1623" priority="388" operator="containsText" text="mt">
      <formula>NOT(ISERROR(SEARCH("mt",G20)))</formula>
    </cfRule>
    <cfRule type="containsText" dxfId="1622" priority="389" operator="containsText" text="wt">
      <formula>NOT(ISERROR(SEARCH("wt",G20)))</formula>
    </cfRule>
  </conditionalFormatting>
  <conditionalFormatting sqref="AI2">
    <cfRule type="containsText" dxfId="1621" priority="384" operator="containsText" text="ht">
      <formula>NOT(ISERROR(SEARCH("ht",AI2)))</formula>
    </cfRule>
    <cfRule type="containsText" dxfId="1620" priority="385" operator="containsText" text="mt">
      <formula>NOT(ISERROR(SEARCH("mt",AI2)))</formula>
    </cfRule>
    <cfRule type="containsText" dxfId="1619" priority="386" operator="containsText" text="wt">
      <formula>NOT(ISERROR(SEARCH("wt",AI2)))</formula>
    </cfRule>
  </conditionalFormatting>
  <conditionalFormatting sqref="AI2">
    <cfRule type="cellIs" dxfId="1618" priority="383" operator="equal">
      <formula>"?"</formula>
    </cfRule>
  </conditionalFormatting>
  <conditionalFormatting sqref="AI3">
    <cfRule type="containsText" dxfId="1617" priority="380" operator="containsText" text="ht">
      <formula>NOT(ISERROR(SEARCH("ht",AI3)))</formula>
    </cfRule>
    <cfRule type="containsText" dxfId="1616" priority="381" operator="containsText" text="mt">
      <formula>NOT(ISERROR(SEARCH("mt",AI3)))</formula>
    </cfRule>
    <cfRule type="containsText" dxfId="1615" priority="382" operator="containsText" text="wt">
      <formula>NOT(ISERROR(SEARCH("wt",AI3)))</formula>
    </cfRule>
  </conditionalFormatting>
  <conditionalFormatting sqref="AI3">
    <cfRule type="cellIs" dxfId="1614" priority="379" operator="equal">
      <formula>"?"</formula>
    </cfRule>
  </conditionalFormatting>
  <conditionalFormatting sqref="AJ3:AK3">
    <cfRule type="containsText" dxfId="1613" priority="376" operator="containsText" text="ht">
      <formula>NOT(ISERROR(SEARCH("ht",AJ3)))</formula>
    </cfRule>
    <cfRule type="containsText" dxfId="1612" priority="377" operator="containsText" text="mt">
      <formula>NOT(ISERROR(SEARCH("mt",AJ3)))</formula>
    </cfRule>
    <cfRule type="containsText" dxfId="1611" priority="378" operator="containsText" text="wt">
      <formula>NOT(ISERROR(SEARCH("wt",AJ3)))</formula>
    </cfRule>
  </conditionalFormatting>
  <conditionalFormatting sqref="AJ3:AK3">
    <cfRule type="cellIs" dxfId="1610" priority="375" operator="equal">
      <formula>"?"</formula>
    </cfRule>
  </conditionalFormatting>
  <conditionalFormatting sqref="AJ3">
    <cfRule type="containsText" dxfId="1609" priority="372" operator="containsText" text="ht">
      <formula>NOT(ISERROR(SEARCH("ht",AJ3)))</formula>
    </cfRule>
    <cfRule type="containsText" dxfId="1608" priority="373" operator="containsText" text="mt">
      <formula>NOT(ISERROR(SEARCH("mt",AJ3)))</formula>
    </cfRule>
    <cfRule type="containsText" dxfId="1607" priority="374" operator="containsText" text="wt">
      <formula>NOT(ISERROR(SEARCH("wt",AJ3)))</formula>
    </cfRule>
  </conditionalFormatting>
  <conditionalFormatting sqref="AK3">
    <cfRule type="containsText" dxfId="1606" priority="369" operator="containsText" text="ht">
      <formula>NOT(ISERROR(SEARCH("ht",AK3)))</formula>
    </cfRule>
    <cfRule type="containsText" dxfId="1605" priority="370" operator="containsText" text="mt">
      <formula>NOT(ISERROR(SEARCH("mt",AK3)))</formula>
    </cfRule>
    <cfRule type="containsText" dxfId="1604" priority="371" operator="containsText" text="wt">
      <formula>NOT(ISERROR(SEARCH("wt",AK3)))</formula>
    </cfRule>
  </conditionalFormatting>
  <conditionalFormatting sqref="O57:T57 O59:T1048576 O58:R58">
    <cfRule type="containsText" dxfId="1603" priority="366" operator="containsText" text="ht">
      <formula>NOT(ISERROR(SEARCH("ht",O57)))</formula>
    </cfRule>
    <cfRule type="containsText" dxfId="1602" priority="367" operator="containsText" text="mt">
      <formula>NOT(ISERROR(SEARCH("mt",O57)))</formula>
    </cfRule>
    <cfRule type="containsText" dxfId="1601" priority="368" operator="containsText" text="wt">
      <formula>NOT(ISERROR(SEARCH("wt",O57)))</formula>
    </cfRule>
  </conditionalFormatting>
  <conditionalFormatting sqref="O3:Q3 R4:T4 S2:T2">
    <cfRule type="containsText" dxfId="1600" priority="363" operator="containsText" text="ht">
      <formula>NOT(ISERROR(SEARCH("ht",O2)))</formula>
    </cfRule>
    <cfRule type="containsText" dxfId="1599" priority="364" operator="containsText" text="mt">
      <formula>NOT(ISERROR(SEARCH("mt",O2)))</formula>
    </cfRule>
    <cfRule type="containsText" dxfId="1598" priority="365" operator="containsText" text="wt">
      <formula>NOT(ISERROR(SEARCH("wt",O2)))</formula>
    </cfRule>
  </conditionalFormatting>
  <conditionalFormatting sqref="O35:O36 O41:O44">
    <cfRule type="containsText" dxfId="1597" priority="360" operator="containsText" text="ht">
      <formula>NOT(ISERROR(SEARCH("ht",O35)))</formula>
    </cfRule>
    <cfRule type="containsText" dxfId="1596" priority="361" operator="containsText" text="mt">
      <formula>NOT(ISERROR(SEARCH("mt",O35)))</formula>
    </cfRule>
    <cfRule type="containsText" dxfId="1595" priority="362" operator="containsText" text="wt">
      <formula>NOT(ISERROR(SEARCH("wt",O35)))</formula>
    </cfRule>
  </conditionalFormatting>
  <conditionalFormatting sqref="U57 U59:U1048576">
    <cfRule type="containsText" dxfId="1594" priority="357" operator="containsText" text="ht">
      <formula>NOT(ISERROR(SEARCH("ht",U57)))</formula>
    </cfRule>
    <cfRule type="containsText" dxfId="1593" priority="358" operator="containsText" text="mt">
      <formula>NOT(ISERROR(SEARCH("mt",U57)))</formula>
    </cfRule>
    <cfRule type="containsText" dxfId="1592" priority="359" operator="containsText" text="wt">
      <formula>NOT(ISERROR(SEARCH("wt",U57)))</formula>
    </cfRule>
  </conditionalFormatting>
  <conditionalFormatting sqref="G22">
    <cfRule type="cellIs" dxfId="1591" priority="356" operator="greaterThan">
      <formula>0.03125</formula>
    </cfRule>
  </conditionalFormatting>
  <conditionalFormatting sqref="AM1 AM5:AM1048576">
    <cfRule type="containsText" dxfId="1590" priority="353" operator="containsText" text="ht">
      <formula>NOT(ISERROR(SEARCH("ht",AM1)))</formula>
    </cfRule>
    <cfRule type="containsText" dxfId="1589" priority="354" operator="containsText" text="mt">
      <formula>NOT(ISERROR(SEARCH("mt",AM1)))</formula>
    </cfRule>
    <cfRule type="containsText" dxfId="1588" priority="355" operator="containsText" text="wt">
      <formula>NOT(ISERROR(SEARCH("wt",AM1)))</formula>
    </cfRule>
  </conditionalFormatting>
  <conditionalFormatting sqref="AM1 AM5:AM1048576">
    <cfRule type="cellIs" dxfId="1587" priority="352" operator="equal">
      <formula>"?"</formula>
    </cfRule>
  </conditionalFormatting>
  <conditionalFormatting sqref="AN109:AN1048576 AN1">
    <cfRule type="containsText" dxfId="1586" priority="349" operator="containsText" text="ht">
      <formula>NOT(ISERROR(SEARCH("ht",AN1)))</formula>
    </cfRule>
    <cfRule type="containsText" dxfId="1585" priority="350" operator="containsText" text="mt">
      <formula>NOT(ISERROR(SEARCH("mt",AN1)))</formula>
    </cfRule>
    <cfRule type="containsText" dxfId="1584" priority="351" operator="containsText" text="wt">
      <formula>NOT(ISERROR(SEARCH("wt",AN1)))</formula>
    </cfRule>
  </conditionalFormatting>
  <conditionalFormatting sqref="AN109:AN1048576 AN1">
    <cfRule type="cellIs" dxfId="1583" priority="348" operator="equal">
      <formula>"?"</formula>
    </cfRule>
  </conditionalFormatting>
  <conditionalFormatting sqref="AN3">
    <cfRule type="containsText" dxfId="1582" priority="345" operator="containsText" text="ht">
      <formula>NOT(ISERROR(SEARCH("ht",AN3)))</formula>
    </cfRule>
    <cfRule type="containsText" dxfId="1581" priority="346" operator="containsText" text="mt">
      <formula>NOT(ISERROR(SEARCH("mt",AN3)))</formula>
    </cfRule>
    <cfRule type="containsText" dxfId="1580" priority="347" operator="containsText" text="wt">
      <formula>NOT(ISERROR(SEARCH("wt",AN3)))</formula>
    </cfRule>
  </conditionalFormatting>
  <conditionalFormatting sqref="AN3">
    <cfRule type="cellIs" dxfId="1579" priority="344" operator="equal">
      <formula>"?"</formula>
    </cfRule>
  </conditionalFormatting>
  <conditionalFormatting sqref="AB3">
    <cfRule type="cellIs" dxfId="1578" priority="340" operator="equal">
      <formula>"?"</formula>
    </cfRule>
  </conditionalFormatting>
  <conditionalFormatting sqref="AB4">
    <cfRule type="cellIs" dxfId="1577" priority="326" operator="equal">
      <formula>61</formula>
    </cfRule>
    <cfRule type="cellIs" dxfId="1576" priority="327" operator="equal">
      <formula>63</formula>
    </cfRule>
    <cfRule type="cellIs" dxfId="1575" priority="328" operator="equal">
      <formula>21</formula>
    </cfRule>
    <cfRule type="cellIs" dxfId="1574" priority="329" operator="equal">
      <formula>120</formula>
    </cfRule>
    <cfRule type="cellIs" dxfId="1573" priority="330" operator="equal">
      <formula>96</formula>
    </cfRule>
    <cfRule type="cellIs" dxfId="1572" priority="331" operator="equal">
      <formula>72</formula>
    </cfRule>
    <cfRule type="cellIs" dxfId="1571" priority="332" operator="equal">
      <formula>55</formula>
    </cfRule>
    <cfRule type="cellIs" dxfId="1570" priority="333" operator="equal">
      <formula>50</formula>
    </cfRule>
    <cfRule type="cellIs" dxfId="1569" priority="334" operator="equal">
      <formula>48</formula>
    </cfRule>
    <cfRule type="cellIs" dxfId="1568" priority="335" operator="equal">
      <formula>30</formula>
    </cfRule>
    <cfRule type="cellIs" dxfId="1567" priority="336" operator="equal">
      <formula>26</formula>
    </cfRule>
    <cfRule type="cellIs" dxfId="1566" priority="337" operator="equal">
      <formula>24</formula>
    </cfRule>
    <cfRule type="cellIs" dxfId="1565" priority="338" operator="equal">
      <formula>18</formula>
    </cfRule>
    <cfRule type="cellIs" dxfId="1564" priority="339" operator="equal">
      <formula>6</formula>
    </cfRule>
  </conditionalFormatting>
  <conditionalFormatting sqref="AN5:AN12">
    <cfRule type="containsText" dxfId="1563" priority="323" operator="containsText" text="ht">
      <formula>NOT(ISERROR(SEARCH("ht",AN5)))</formula>
    </cfRule>
    <cfRule type="containsText" dxfId="1562" priority="324" operator="containsText" text="mt">
      <formula>NOT(ISERROR(SEARCH("mt",AN5)))</formula>
    </cfRule>
    <cfRule type="containsText" dxfId="1561" priority="325" operator="containsText" text="wt">
      <formula>NOT(ISERROR(SEARCH("wt",AN5)))</formula>
    </cfRule>
  </conditionalFormatting>
  <conditionalFormatting sqref="AN5:AN12">
    <cfRule type="cellIs" dxfId="1560" priority="322" operator="equal">
      <formula>"?"</formula>
    </cfRule>
  </conditionalFormatting>
  <conditionalFormatting sqref="AN13:AN34">
    <cfRule type="containsText" dxfId="1559" priority="319" operator="containsText" text="ht">
      <formula>NOT(ISERROR(SEARCH("ht",AN13)))</formula>
    </cfRule>
    <cfRule type="containsText" dxfId="1558" priority="320" operator="containsText" text="mt">
      <formula>NOT(ISERROR(SEARCH("mt",AN13)))</formula>
    </cfRule>
    <cfRule type="containsText" dxfId="1557" priority="321" operator="containsText" text="wt">
      <formula>NOT(ISERROR(SEARCH("wt",AN13)))</formula>
    </cfRule>
  </conditionalFormatting>
  <conditionalFormatting sqref="AN13:AN34">
    <cfRule type="cellIs" dxfId="1556" priority="318" operator="equal">
      <formula>"?"</formula>
    </cfRule>
  </conditionalFormatting>
  <conditionalFormatting sqref="AI4:AK4">
    <cfRule type="containsText" dxfId="1555" priority="315" operator="containsText" text="ht">
      <formula>NOT(ISERROR(SEARCH("ht",AI4)))</formula>
    </cfRule>
    <cfRule type="containsText" dxfId="1554" priority="316" operator="containsText" text="mt">
      <formula>NOT(ISERROR(SEARCH("mt",AI4)))</formula>
    </cfRule>
    <cfRule type="containsText" dxfId="1553" priority="317" operator="containsText" text="wt">
      <formula>NOT(ISERROR(SEARCH("wt",AI4)))</formula>
    </cfRule>
  </conditionalFormatting>
  <conditionalFormatting sqref="P35:T36 P41:T44">
    <cfRule type="containsText" dxfId="1552" priority="312" operator="containsText" text="ht">
      <formula>NOT(ISERROR(SEARCH("ht",P35)))</formula>
    </cfRule>
    <cfRule type="containsText" dxfId="1551" priority="313" operator="containsText" text="mt">
      <formula>NOT(ISERROR(SEARCH("mt",P35)))</formula>
    </cfRule>
    <cfRule type="containsText" dxfId="1550" priority="314" operator="containsText" text="wt">
      <formula>NOT(ISERROR(SEARCH("wt",P35)))</formula>
    </cfRule>
  </conditionalFormatting>
  <conditionalFormatting sqref="U35:U36 U41:U44">
    <cfRule type="containsText" dxfId="1549" priority="309" operator="containsText" text="ht">
      <formula>NOT(ISERROR(SEARCH("ht",U35)))</formula>
    </cfRule>
    <cfRule type="containsText" dxfId="1548" priority="310" operator="containsText" text="mt">
      <formula>NOT(ISERROR(SEARCH("mt",U35)))</formula>
    </cfRule>
    <cfRule type="containsText" dxfId="1547" priority="311" operator="containsText" text="wt">
      <formula>NOT(ISERROR(SEARCH("wt",U35)))</formula>
    </cfRule>
  </conditionalFormatting>
  <conditionalFormatting sqref="AI8:AK8">
    <cfRule type="containsText" dxfId="1546" priority="306" operator="containsText" text="ht">
      <formula>NOT(ISERROR(SEARCH("ht",AI8)))</formula>
    </cfRule>
    <cfRule type="containsText" dxfId="1545" priority="307" operator="containsText" text="mt">
      <formula>NOT(ISERROR(SEARCH("mt",AI8)))</formula>
    </cfRule>
    <cfRule type="containsText" dxfId="1544" priority="308" operator="containsText" text="wt">
      <formula>NOT(ISERROR(SEARCH("wt",AI8)))</formula>
    </cfRule>
  </conditionalFormatting>
  <conditionalFormatting sqref="AA7">
    <cfRule type="cellIs" dxfId="1543" priority="286" operator="equal">
      <formula>61</formula>
    </cfRule>
    <cfRule type="cellIs" dxfId="1542" priority="287" operator="equal">
      <formula>63</formula>
    </cfRule>
    <cfRule type="cellIs" dxfId="1541" priority="288" operator="equal">
      <formula>21</formula>
    </cfRule>
    <cfRule type="cellIs" dxfId="1540" priority="289" operator="equal">
      <formula>120</formula>
    </cfRule>
    <cfRule type="cellIs" dxfId="1539" priority="290" operator="equal">
      <formula>96</formula>
    </cfRule>
    <cfRule type="cellIs" dxfId="1538" priority="291" operator="equal">
      <formula>72</formula>
    </cfRule>
    <cfRule type="cellIs" dxfId="1537" priority="292" operator="equal">
      <formula>55</formula>
    </cfRule>
    <cfRule type="cellIs" dxfId="1536" priority="293" operator="equal">
      <formula>50</formula>
    </cfRule>
    <cfRule type="cellIs" dxfId="1535" priority="294" operator="equal">
      <formula>48</formula>
    </cfRule>
    <cfRule type="cellIs" dxfId="1534" priority="295" operator="equal">
      <formula>30</formula>
    </cfRule>
    <cfRule type="cellIs" dxfId="1533" priority="296" operator="equal">
      <formula>26</formula>
    </cfRule>
    <cfRule type="cellIs" dxfId="1532" priority="297" operator="equal">
      <formula>24</formula>
    </cfRule>
    <cfRule type="cellIs" dxfId="1531" priority="298" operator="equal">
      <formula>18</formula>
    </cfRule>
    <cfRule type="cellIs" dxfId="1530" priority="299" operator="equal">
      <formula>6</formula>
    </cfRule>
  </conditionalFormatting>
  <conditionalFormatting sqref="AA6">
    <cfRule type="cellIs" dxfId="1529" priority="272" operator="equal">
      <formula>61</formula>
    </cfRule>
    <cfRule type="cellIs" dxfId="1528" priority="273" operator="equal">
      <formula>63</formula>
    </cfRule>
    <cfRule type="cellIs" dxfId="1527" priority="274" operator="equal">
      <formula>21</formula>
    </cfRule>
    <cfRule type="cellIs" dxfId="1526" priority="275" operator="equal">
      <formula>120</formula>
    </cfRule>
    <cfRule type="cellIs" dxfId="1525" priority="276" operator="equal">
      <formula>96</formula>
    </cfRule>
    <cfRule type="cellIs" dxfId="1524" priority="277" operator="equal">
      <formula>72</formula>
    </cfRule>
    <cfRule type="cellIs" dxfId="1523" priority="278" operator="equal">
      <formula>55</formula>
    </cfRule>
    <cfRule type="cellIs" dxfId="1522" priority="279" operator="equal">
      <formula>50</formula>
    </cfRule>
    <cfRule type="cellIs" dxfId="1521" priority="280" operator="equal">
      <formula>48</formula>
    </cfRule>
    <cfRule type="cellIs" dxfId="1520" priority="281" operator="equal">
      <formula>30</formula>
    </cfRule>
    <cfRule type="cellIs" dxfId="1519" priority="282" operator="equal">
      <formula>26</formula>
    </cfRule>
    <cfRule type="cellIs" dxfId="1518" priority="283" operator="equal">
      <formula>24</formula>
    </cfRule>
    <cfRule type="cellIs" dxfId="1517" priority="284" operator="equal">
      <formula>18</formula>
    </cfRule>
    <cfRule type="cellIs" dxfId="1516" priority="285" operator="equal">
      <formula>6</formula>
    </cfRule>
  </conditionalFormatting>
  <conditionalFormatting sqref="Z6">
    <cfRule type="containsText" dxfId="1515" priority="268" operator="containsText" text="241/+ (F2s)">
      <formula>NOT(ISERROR(SEARCH("241/+ (F2s)",Z6)))</formula>
    </cfRule>
    <cfRule type="containsText" dxfId="1514" priority="269" operator="containsText" text="187/+ (F2s)">
      <formula>NOT(ISERROR(SEARCH("187/+ (F2s)",Z6)))</formula>
    </cfRule>
    <cfRule type="containsText" dxfId="1513" priority="270" operator="containsText" text="236/+ (F1s)">
      <formula>NOT(ISERROR(SEARCH("236/+ (F1s)",Z6)))</formula>
    </cfRule>
    <cfRule type="containsText" dxfId="1512" priority="271" operator="containsText" text="241/+ (F1s)">
      <formula>NOT(ISERROR(SEARCH("241/+ (F1s)",Z6)))</formula>
    </cfRule>
  </conditionalFormatting>
  <conditionalFormatting sqref="Z6:Z7">
    <cfRule type="containsText" dxfId="1511" priority="267" operator="containsText" text="∆241/∆241">
      <formula>NOT(ISERROR(SEARCH("∆241/∆241",Z6)))</formula>
    </cfRule>
  </conditionalFormatting>
  <conditionalFormatting sqref="Z6:Z7">
    <cfRule type="containsText" dxfId="1510" priority="265" operator="containsText" text="prom+/+ (F3s)">
      <formula>NOT(ISERROR(SEARCH("prom+/+ (F3s)",Z6)))</formula>
    </cfRule>
    <cfRule type="containsText" dxfId="1509" priority="266" operator="containsText" text="241/+ (F3s)">
      <formula>NOT(ISERROR(SEARCH("241/+ (F3s)",Z6)))</formula>
    </cfRule>
  </conditionalFormatting>
  <conditionalFormatting sqref="Z7">
    <cfRule type="containsText" dxfId="1508" priority="261" operator="containsText" text="241/+ (F2s)">
      <formula>NOT(ISERROR(SEARCH("241/+ (F2s)",Z7)))</formula>
    </cfRule>
    <cfRule type="containsText" dxfId="1507" priority="262" operator="containsText" text="187/+ (F2s)">
      <formula>NOT(ISERROR(SEARCH("187/+ (F2s)",Z7)))</formula>
    </cfRule>
    <cfRule type="containsText" dxfId="1506" priority="263" operator="containsText" text="236/+ (F1s)">
      <formula>NOT(ISERROR(SEARCH("236/+ (F1s)",Z7)))</formula>
    </cfRule>
    <cfRule type="containsText" dxfId="1505" priority="264" operator="containsText" text="241/+ (F1s)">
      <formula>NOT(ISERROR(SEARCH("241/+ (F1s)",Z7)))</formula>
    </cfRule>
  </conditionalFormatting>
  <conditionalFormatting sqref="Y8:AA8 AC8:AG8">
    <cfRule type="containsText" dxfId="1504" priority="303" operator="containsText" text="ht">
      <formula>NOT(ISERROR(SEARCH("ht",Y8)))</formula>
    </cfRule>
    <cfRule type="containsText" dxfId="1503" priority="304" operator="containsText" text="mt">
      <formula>NOT(ISERROR(SEARCH("mt",Y8)))</formula>
    </cfRule>
    <cfRule type="containsText" dxfId="1502" priority="305" operator="containsText" text="wt">
      <formula>NOT(ISERROR(SEARCH("wt",Y8)))</formula>
    </cfRule>
  </conditionalFormatting>
  <conditionalFormatting sqref="AC6:AG7 Y6:Y7">
    <cfRule type="containsText" dxfId="1501" priority="300" operator="containsText" text="ht">
      <formula>NOT(ISERROR(SEARCH("ht",Y6)))</formula>
    </cfRule>
    <cfRule type="containsText" dxfId="1500" priority="301" operator="containsText" text="mt">
      <formula>NOT(ISERROR(SEARCH("mt",Y6)))</formula>
    </cfRule>
    <cfRule type="containsText" dxfId="1499" priority="302" operator="containsText" text="wt">
      <formula>NOT(ISERROR(SEARCH("wt",Y6)))</formula>
    </cfRule>
  </conditionalFormatting>
  <conditionalFormatting sqref="AH8">
    <cfRule type="containsText" dxfId="1498" priority="258" operator="containsText" text="ht">
      <formula>NOT(ISERROR(SEARCH("ht",AH8)))</formula>
    </cfRule>
    <cfRule type="containsText" dxfId="1497" priority="259" operator="containsText" text="mt">
      <formula>NOT(ISERROR(SEARCH("mt",AH8)))</formula>
    </cfRule>
    <cfRule type="containsText" dxfId="1496" priority="260" operator="containsText" text="wt">
      <formula>NOT(ISERROR(SEARCH("wt",AH8)))</formula>
    </cfRule>
  </conditionalFormatting>
  <conditionalFormatting sqref="AH8">
    <cfRule type="containsText" dxfId="1495" priority="256" operator="containsText" text="YES">
      <formula>NOT(ISERROR(SEARCH("YES",AH8)))</formula>
    </cfRule>
    <cfRule type="containsText" dxfId="1494" priority="257" operator="containsText" text="NO">
      <formula>NOT(ISERROR(SEARCH("NO",AH8)))</formula>
    </cfRule>
  </conditionalFormatting>
  <conditionalFormatting sqref="AH6:AH7">
    <cfRule type="containsText" dxfId="1493" priority="253" operator="containsText" text="ht">
      <formula>NOT(ISERROR(SEARCH("ht",AH6)))</formula>
    </cfRule>
    <cfRule type="containsText" dxfId="1492" priority="254" operator="containsText" text="mt">
      <formula>NOT(ISERROR(SEARCH("mt",AH6)))</formula>
    </cfRule>
    <cfRule type="containsText" dxfId="1491" priority="255" operator="containsText" text="wt">
      <formula>NOT(ISERROR(SEARCH("wt",AH6)))</formula>
    </cfRule>
  </conditionalFormatting>
  <conditionalFormatting sqref="AH6:AH7">
    <cfRule type="containsText" dxfId="1490" priority="251" operator="containsText" text="YES">
      <formula>NOT(ISERROR(SEARCH("YES",AH6)))</formula>
    </cfRule>
    <cfRule type="containsText" dxfId="1489" priority="252" operator="containsText" text="NO">
      <formula>NOT(ISERROR(SEARCH("NO",AH6)))</formula>
    </cfRule>
  </conditionalFormatting>
  <conditionalFormatting sqref="AH6:AH7">
    <cfRule type="containsText" dxfId="1488" priority="250" operator="containsText" text="YES?">
      <formula>NOT(ISERROR(SEARCH("YES?",AH6)))</formula>
    </cfRule>
  </conditionalFormatting>
  <conditionalFormatting sqref="AI6:AK7">
    <cfRule type="containsText" dxfId="1487" priority="247" operator="containsText" text="ht">
      <formula>NOT(ISERROR(SEARCH("ht",AI6)))</formula>
    </cfRule>
    <cfRule type="containsText" dxfId="1486" priority="248" operator="containsText" text="mt">
      <formula>NOT(ISERROR(SEARCH("mt",AI6)))</formula>
    </cfRule>
    <cfRule type="containsText" dxfId="1485" priority="249" operator="containsText" text="wt">
      <formula>NOT(ISERROR(SEARCH("wt",AI6)))</formula>
    </cfRule>
  </conditionalFormatting>
  <conditionalFormatting sqref="AB7">
    <cfRule type="cellIs" dxfId="1484" priority="233" operator="equal">
      <formula>61</formula>
    </cfRule>
    <cfRule type="cellIs" dxfId="1483" priority="234" operator="equal">
      <formula>63</formula>
    </cfRule>
    <cfRule type="cellIs" dxfId="1482" priority="235" operator="equal">
      <formula>21</formula>
    </cfRule>
    <cfRule type="cellIs" dxfId="1481" priority="236" operator="equal">
      <formula>120</formula>
    </cfRule>
    <cfRule type="cellIs" dxfId="1480" priority="237" operator="equal">
      <formula>96</formula>
    </cfRule>
    <cfRule type="cellIs" dxfId="1479" priority="238" operator="equal">
      <formula>72</formula>
    </cfRule>
    <cfRule type="cellIs" dxfId="1478" priority="239" operator="equal">
      <formula>55</formula>
    </cfRule>
    <cfRule type="cellIs" dxfId="1477" priority="240" operator="equal">
      <formula>50</formula>
    </cfRule>
    <cfRule type="cellIs" dxfId="1476" priority="241" operator="equal">
      <formula>48</formula>
    </cfRule>
    <cfRule type="cellIs" dxfId="1475" priority="242" operator="equal">
      <formula>30</formula>
    </cfRule>
    <cfRule type="cellIs" dxfId="1474" priority="243" operator="equal">
      <formula>26</formula>
    </cfRule>
    <cfRule type="cellIs" dxfId="1473" priority="244" operator="equal">
      <formula>24</formula>
    </cfRule>
    <cfRule type="cellIs" dxfId="1472" priority="245" operator="equal">
      <formula>18</formula>
    </cfRule>
    <cfRule type="cellIs" dxfId="1471" priority="246" operator="equal">
      <formula>6</formula>
    </cfRule>
  </conditionalFormatting>
  <conditionalFormatting sqref="AB6">
    <cfRule type="cellIs" dxfId="1470" priority="219" operator="equal">
      <formula>61</formula>
    </cfRule>
    <cfRule type="cellIs" dxfId="1469" priority="220" operator="equal">
      <formula>63</formula>
    </cfRule>
    <cfRule type="cellIs" dxfId="1468" priority="221" operator="equal">
      <formula>21</formula>
    </cfRule>
    <cfRule type="cellIs" dxfId="1467" priority="222" operator="equal">
      <formula>120</formula>
    </cfRule>
    <cfRule type="cellIs" dxfId="1466" priority="223" operator="equal">
      <formula>96</formula>
    </cfRule>
    <cfRule type="cellIs" dxfId="1465" priority="224" operator="equal">
      <formula>72</formula>
    </cfRule>
    <cfRule type="cellIs" dxfId="1464" priority="225" operator="equal">
      <formula>55</formula>
    </cfRule>
    <cfRule type="cellIs" dxfId="1463" priority="226" operator="equal">
      <formula>50</formula>
    </cfRule>
    <cfRule type="cellIs" dxfId="1462" priority="227" operator="equal">
      <formula>48</formula>
    </cfRule>
    <cfRule type="cellIs" dxfId="1461" priority="228" operator="equal">
      <formula>30</formula>
    </cfRule>
    <cfRule type="cellIs" dxfId="1460" priority="229" operator="equal">
      <formula>26</formula>
    </cfRule>
    <cfRule type="cellIs" dxfId="1459" priority="230" operator="equal">
      <formula>24</formula>
    </cfRule>
    <cfRule type="cellIs" dxfId="1458" priority="231" operator="equal">
      <formula>18</formula>
    </cfRule>
    <cfRule type="cellIs" dxfId="1457" priority="232" operator="equal">
      <formula>6</formula>
    </cfRule>
  </conditionalFormatting>
  <conditionalFormatting sqref="AA5">
    <cfRule type="cellIs" dxfId="1456" priority="202" operator="equal">
      <formula>61</formula>
    </cfRule>
    <cfRule type="cellIs" dxfId="1455" priority="203" operator="equal">
      <formula>63</formula>
    </cfRule>
    <cfRule type="cellIs" dxfId="1454" priority="204" operator="equal">
      <formula>21</formula>
    </cfRule>
    <cfRule type="cellIs" dxfId="1453" priority="205" operator="equal">
      <formula>120</formula>
    </cfRule>
    <cfRule type="cellIs" dxfId="1452" priority="206" operator="equal">
      <formula>96</formula>
    </cfRule>
    <cfRule type="cellIs" dxfId="1451" priority="207" operator="equal">
      <formula>72</formula>
    </cfRule>
    <cfRule type="cellIs" dxfId="1450" priority="208" operator="equal">
      <formula>55</formula>
    </cfRule>
    <cfRule type="cellIs" dxfId="1449" priority="209" operator="equal">
      <formula>50</formula>
    </cfRule>
    <cfRule type="cellIs" dxfId="1448" priority="210" operator="equal">
      <formula>48</formula>
    </cfRule>
    <cfRule type="cellIs" dxfId="1447" priority="211" operator="equal">
      <formula>30</formula>
    </cfRule>
    <cfRule type="cellIs" dxfId="1446" priority="212" operator="equal">
      <formula>26</formula>
    </cfRule>
    <cfRule type="cellIs" dxfId="1445" priority="213" operator="equal">
      <formula>24</formula>
    </cfRule>
    <cfRule type="cellIs" dxfId="1444" priority="214" operator="equal">
      <formula>18</formula>
    </cfRule>
    <cfRule type="cellIs" dxfId="1443" priority="215" operator="equal">
      <formula>6</formula>
    </cfRule>
  </conditionalFormatting>
  <conditionalFormatting sqref="Y5 AC5:AG5">
    <cfRule type="containsText" dxfId="1442" priority="216" operator="containsText" text="ht">
      <formula>NOT(ISERROR(SEARCH("ht",Y5)))</formula>
    </cfRule>
    <cfRule type="containsText" dxfId="1441" priority="217" operator="containsText" text="mt">
      <formula>NOT(ISERROR(SEARCH("mt",Y5)))</formula>
    </cfRule>
    <cfRule type="containsText" dxfId="1440" priority="218" operator="containsText" text="wt">
      <formula>NOT(ISERROR(SEARCH("wt",Y5)))</formula>
    </cfRule>
  </conditionalFormatting>
  <conditionalFormatting sqref="AH5">
    <cfRule type="containsText" dxfId="1439" priority="199" operator="containsText" text="ht">
      <formula>NOT(ISERROR(SEARCH("ht",AH5)))</formula>
    </cfRule>
    <cfRule type="containsText" dxfId="1438" priority="200" operator="containsText" text="mt">
      <formula>NOT(ISERROR(SEARCH("mt",AH5)))</formula>
    </cfRule>
    <cfRule type="containsText" dxfId="1437" priority="201" operator="containsText" text="wt">
      <formula>NOT(ISERROR(SEARCH("wt",AH5)))</formula>
    </cfRule>
  </conditionalFormatting>
  <conditionalFormatting sqref="AH5">
    <cfRule type="containsText" dxfId="1436" priority="197" operator="containsText" text="YES">
      <formula>NOT(ISERROR(SEARCH("YES",AH5)))</formula>
    </cfRule>
    <cfRule type="containsText" dxfId="1435" priority="198" operator="containsText" text="NO">
      <formula>NOT(ISERROR(SEARCH("NO",AH5)))</formula>
    </cfRule>
  </conditionalFormatting>
  <conditionalFormatting sqref="AH5">
    <cfRule type="containsText" dxfId="1434" priority="196" operator="containsText" text="YES?">
      <formula>NOT(ISERROR(SEARCH("YES?",AH5)))</formula>
    </cfRule>
  </conditionalFormatting>
  <conditionalFormatting sqref="AI5:AK5">
    <cfRule type="containsText" dxfId="1433" priority="193" operator="containsText" text="ht">
      <formula>NOT(ISERROR(SEARCH("ht",AI5)))</formula>
    </cfRule>
    <cfRule type="containsText" dxfId="1432" priority="194" operator="containsText" text="mt">
      <formula>NOT(ISERROR(SEARCH("mt",AI5)))</formula>
    </cfRule>
    <cfRule type="containsText" dxfId="1431" priority="195" operator="containsText" text="wt">
      <formula>NOT(ISERROR(SEARCH("wt",AI5)))</formula>
    </cfRule>
  </conditionalFormatting>
  <conditionalFormatting sqref="AB5">
    <cfRule type="cellIs" dxfId="1430" priority="179" operator="equal">
      <formula>61</formula>
    </cfRule>
    <cfRule type="cellIs" dxfId="1429" priority="180" operator="equal">
      <formula>63</formula>
    </cfRule>
    <cfRule type="cellIs" dxfId="1428" priority="181" operator="equal">
      <formula>21</formula>
    </cfRule>
    <cfRule type="cellIs" dxfId="1427" priority="182" operator="equal">
      <formula>120</formula>
    </cfRule>
    <cfRule type="cellIs" dxfId="1426" priority="183" operator="equal">
      <formula>96</formula>
    </cfRule>
    <cfRule type="cellIs" dxfId="1425" priority="184" operator="equal">
      <formula>72</formula>
    </cfRule>
    <cfRule type="cellIs" dxfId="1424" priority="185" operator="equal">
      <formula>55</formula>
    </cfRule>
    <cfRule type="cellIs" dxfId="1423" priority="186" operator="equal">
      <formula>50</formula>
    </cfRule>
    <cfRule type="cellIs" dxfId="1422" priority="187" operator="equal">
      <formula>48</formula>
    </cfRule>
    <cfRule type="cellIs" dxfId="1421" priority="188" operator="equal">
      <formula>30</formula>
    </cfRule>
    <cfRule type="cellIs" dxfId="1420" priority="189" operator="equal">
      <formula>26</formula>
    </cfRule>
    <cfRule type="cellIs" dxfId="1419" priority="190" operator="equal">
      <formula>24</formula>
    </cfRule>
    <cfRule type="cellIs" dxfId="1418" priority="191" operator="equal">
      <formula>18</formula>
    </cfRule>
    <cfRule type="cellIs" dxfId="1417" priority="192" operator="equal">
      <formula>6</formula>
    </cfRule>
  </conditionalFormatting>
  <conditionalFormatting sqref="C15:C16">
    <cfRule type="containsText" dxfId="1416" priority="176" operator="containsText" text="ht">
      <formula>NOT(ISERROR(SEARCH("ht",C15)))</formula>
    </cfRule>
    <cfRule type="containsText" dxfId="1415" priority="177" operator="containsText" text="mt">
      <formula>NOT(ISERROR(SEARCH("mt",C15)))</formula>
    </cfRule>
    <cfRule type="containsText" dxfId="1414" priority="178" operator="containsText" text="wt">
      <formula>NOT(ISERROR(SEARCH("wt",C15)))</formula>
    </cfRule>
  </conditionalFormatting>
  <conditionalFormatting sqref="G22 U2 U35:U44">
    <cfRule type="cellIs" dxfId="1413" priority="503" operator="greaterThan">
      <formula>$G$22</formula>
    </cfRule>
  </conditionalFormatting>
  <conditionalFormatting sqref="O37:O40">
    <cfRule type="containsText" dxfId="1412" priority="173" operator="containsText" text="ht">
      <formula>NOT(ISERROR(SEARCH("ht",O37)))</formula>
    </cfRule>
    <cfRule type="containsText" dxfId="1411" priority="174" operator="containsText" text="mt">
      <formula>NOT(ISERROR(SEARCH("mt",O37)))</formula>
    </cfRule>
    <cfRule type="containsText" dxfId="1410" priority="175" operator="containsText" text="wt">
      <formula>NOT(ISERROR(SEARCH("wt",O37)))</formula>
    </cfRule>
  </conditionalFormatting>
  <conditionalFormatting sqref="T37:T40">
    <cfRule type="containsText" dxfId="1409" priority="167" operator="containsText" text="ht">
      <formula>NOT(ISERROR(SEARCH("ht",T37)))</formula>
    </cfRule>
    <cfRule type="containsText" dxfId="1408" priority="168" operator="containsText" text="mt">
      <formula>NOT(ISERROR(SEARCH("mt",T37)))</formula>
    </cfRule>
    <cfRule type="containsText" dxfId="1407" priority="169" operator="containsText" text="wt">
      <formula>NOT(ISERROR(SEARCH("wt",T37)))</formula>
    </cfRule>
  </conditionalFormatting>
  <conditionalFormatting sqref="P37:P40">
    <cfRule type="containsText" dxfId="1406" priority="170" operator="containsText" text="ht">
      <formula>NOT(ISERROR(SEARCH("ht",P37)))</formula>
    </cfRule>
    <cfRule type="containsText" dxfId="1405" priority="171" operator="containsText" text="mt">
      <formula>NOT(ISERROR(SEARCH("mt",P37)))</formula>
    </cfRule>
    <cfRule type="containsText" dxfId="1404" priority="172" operator="containsText" text="wt">
      <formula>NOT(ISERROR(SEARCH("wt",P37)))</formula>
    </cfRule>
  </conditionalFormatting>
  <conditionalFormatting sqref="U37:U40">
    <cfRule type="containsText" dxfId="1403" priority="164" operator="containsText" text="ht">
      <formula>NOT(ISERROR(SEARCH("ht",U37)))</formula>
    </cfRule>
    <cfRule type="containsText" dxfId="1402" priority="165" operator="containsText" text="mt">
      <formula>NOT(ISERROR(SEARCH("mt",U37)))</formula>
    </cfRule>
    <cfRule type="containsText" dxfId="1401" priority="166" operator="containsText" text="wt">
      <formula>NOT(ISERROR(SEARCH("wt",U37)))</formula>
    </cfRule>
  </conditionalFormatting>
  <conditionalFormatting sqref="Q37:S40">
    <cfRule type="containsText" dxfId="1400" priority="161" operator="containsText" text="ht">
      <formula>NOT(ISERROR(SEARCH("ht",Q37)))</formula>
    </cfRule>
    <cfRule type="containsText" dxfId="1399" priority="162" operator="containsText" text="mt">
      <formula>NOT(ISERROR(SEARCH("mt",Q37)))</formula>
    </cfRule>
    <cfRule type="containsText" dxfId="1398" priority="163" operator="containsText" text="wt">
      <formula>NOT(ISERROR(SEARCH("wt",Q37)))</formula>
    </cfRule>
  </conditionalFormatting>
  <conditionalFormatting sqref="N37 N45">
    <cfRule type="containsText" dxfId="1397" priority="158" operator="containsText" text="ht">
      <formula>NOT(ISERROR(SEARCH("ht",N37)))</formula>
    </cfRule>
    <cfRule type="containsText" dxfId="1396" priority="159" operator="containsText" text="mt">
      <formula>NOT(ISERROR(SEARCH("mt",N37)))</formula>
    </cfRule>
    <cfRule type="containsText" dxfId="1395" priority="160" operator="containsText" text="wt">
      <formula>NOT(ISERROR(SEARCH("wt",N37)))</formula>
    </cfRule>
  </conditionalFormatting>
  <conditionalFormatting sqref="F15:G15">
    <cfRule type="containsBlanks" dxfId="1394" priority="157">
      <formula>LEN(TRIM(F15))=0</formula>
    </cfRule>
  </conditionalFormatting>
  <conditionalFormatting sqref="J15:J16">
    <cfRule type="containsBlanks" dxfId="1393" priority="156">
      <formula>LEN(TRIM(J15))=0</formula>
    </cfRule>
  </conditionalFormatting>
  <conditionalFormatting sqref="K15:L16">
    <cfRule type="containsBlanks" dxfId="1392" priority="155">
      <formula>LEN(TRIM(K15))=0</formula>
    </cfRule>
  </conditionalFormatting>
  <conditionalFormatting sqref="AN35:AN44">
    <cfRule type="containsText" dxfId="1391" priority="152" operator="containsText" text="ht">
      <formula>NOT(ISERROR(SEARCH("ht",AN35)))</formula>
    </cfRule>
    <cfRule type="containsText" dxfId="1390" priority="153" operator="containsText" text="mt">
      <formula>NOT(ISERROR(SEARCH("mt",AN35)))</formula>
    </cfRule>
    <cfRule type="containsText" dxfId="1389" priority="154" operator="containsText" text="wt">
      <formula>NOT(ISERROR(SEARCH("wt",AN35)))</formula>
    </cfRule>
  </conditionalFormatting>
  <conditionalFormatting sqref="AN35:AN44">
    <cfRule type="cellIs" dxfId="1388" priority="151" operator="equal">
      <formula>"?"</formula>
    </cfRule>
  </conditionalFormatting>
  <conditionalFormatting sqref="Z4">
    <cfRule type="containsText" dxfId="1387" priority="141" operator="containsText" text="spaw+/-; hapln1a prom241/+">
      <formula>NOT(ISERROR(SEARCH("spaw+/-; hapln1a prom241/+",Z4)))</formula>
    </cfRule>
    <cfRule type="containsText" dxfId="1386" priority="142" operator="containsText" text="187/187 (F3s)">
      <formula>NOT(ISERROR(SEARCH("187/187 (F3s)",Z4)))</formula>
    </cfRule>
    <cfRule type="containsText" dxfId="1385" priority="143" operator="containsText" text="187/+ (F3s)">
      <formula>NOT(ISERROR(SEARCH("187/+ (F3s)",Z4)))</formula>
    </cfRule>
  </conditionalFormatting>
  <conditionalFormatting sqref="Z4">
    <cfRule type="containsText" dxfId="1384" priority="147" operator="containsText" text="241/+ (F2s)">
      <formula>NOT(ISERROR(SEARCH("241/+ (F2s)",Z4)))</formula>
    </cfRule>
    <cfRule type="containsText" dxfId="1383" priority="148" operator="containsText" text="187/+ (F2s)">
      <formula>NOT(ISERROR(SEARCH("187/+ (F2s)",Z4)))</formula>
    </cfRule>
    <cfRule type="containsText" dxfId="1382" priority="149" operator="containsText" text="236/+ (F1s)">
      <formula>NOT(ISERROR(SEARCH("236/+ (F1s)",Z4)))</formula>
    </cfRule>
    <cfRule type="containsText" dxfId="1381" priority="150" operator="containsText" text="241/+ (F1s)">
      <formula>NOT(ISERROR(SEARCH("241/+ (F1s)",Z4)))</formula>
    </cfRule>
  </conditionalFormatting>
  <conditionalFormatting sqref="Z4">
    <cfRule type="containsText" dxfId="1380" priority="146" operator="containsText" text="241/241">
      <formula>NOT(ISERROR(SEARCH("241/241",Z4)))</formula>
    </cfRule>
  </conditionalFormatting>
  <conditionalFormatting sqref="Z4">
    <cfRule type="containsText" dxfId="1379" priority="144" operator="containsText" text="prom+/+ (F3s)">
      <formula>NOT(ISERROR(SEARCH("prom+/+ (F3s)",Z4)))</formula>
    </cfRule>
    <cfRule type="containsText" dxfId="1378" priority="145" operator="containsText" text="241/+ (F3s)">
      <formula>NOT(ISERROR(SEARCH("241/+ (F3s)",Z4)))</formula>
    </cfRule>
  </conditionalFormatting>
  <conditionalFormatting sqref="C17">
    <cfRule type="containsText" dxfId="1377" priority="138" operator="containsText" text="ht">
      <formula>NOT(ISERROR(SEARCH("ht",C17)))</formula>
    </cfRule>
    <cfRule type="containsText" dxfId="1376" priority="139" operator="containsText" text="mt">
      <formula>NOT(ISERROR(SEARCH("mt",C17)))</formula>
    </cfRule>
    <cfRule type="containsText" dxfId="1375" priority="140" operator="containsText" text="wt">
      <formula>NOT(ISERROR(SEARCH("wt",C17)))</formula>
    </cfRule>
  </conditionalFormatting>
  <conditionalFormatting sqref="V14:W16 V22">
    <cfRule type="containsText" dxfId="1374" priority="132" operator="containsText" text="ht">
      <formula>NOT(ISERROR(SEARCH("ht",V14)))</formula>
    </cfRule>
    <cfRule type="containsText" dxfId="1373" priority="133" operator="containsText" text="mt">
      <formula>NOT(ISERROR(SEARCH("mt",V14)))</formula>
    </cfRule>
    <cfRule type="containsText" dxfId="1372" priority="134" operator="containsText" text="wt">
      <formula>NOT(ISERROR(SEARCH("wt",V14)))</formula>
    </cfRule>
  </conditionalFormatting>
  <conditionalFormatting sqref="V5:W13 V17:W19 V23:W25">
    <cfRule type="containsText" dxfId="1371" priority="135" operator="containsText" text="ht">
      <formula>NOT(ISERROR(SEARCH("ht",V5)))</formula>
    </cfRule>
    <cfRule type="containsText" dxfId="1370" priority="136" operator="containsText" text="mt">
      <formula>NOT(ISERROR(SEARCH("mt",V5)))</formula>
    </cfRule>
    <cfRule type="containsText" dxfId="1369" priority="137" operator="containsText" text="wt">
      <formula>NOT(ISERROR(SEARCH("wt",V5)))</formula>
    </cfRule>
  </conditionalFormatting>
  <conditionalFormatting sqref="W22">
    <cfRule type="containsText" dxfId="1368" priority="129" operator="containsText" text="ht">
      <formula>NOT(ISERROR(SEARCH("ht",W22)))</formula>
    </cfRule>
    <cfRule type="containsText" dxfId="1367" priority="130" operator="containsText" text="mt">
      <formula>NOT(ISERROR(SEARCH("mt",W22)))</formula>
    </cfRule>
    <cfRule type="containsText" dxfId="1366" priority="131" operator="containsText" text="wt">
      <formula>NOT(ISERROR(SEARCH("wt",W22)))</formula>
    </cfRule>
  </conditionalFormatting>
  <conditionalFormatting sqref="N8 N5 N14 N11">
    <cfRule type="containsText" dxfId="1365" priority="126" operator="containsText" text="ht">
      <formula>NOT(ISERROR(SEARCH("ht",N5)))</formula>
    </cfRule>
    <cfRule type="containsText" dxfId="1364" priority="127" operator="containsText" text="mt">
      <formula>NOT(ISERROR(SEARCH("mt",N5)))</formula>
    </cfRule>
    <cfRule type="containsText" dxfId="1363" priority="128" operator="containsText" text="wt">
      <formula>NOT(ISERROR(SEARCH("wt",N5)))</formula>
    </cfRule>
  </conditionalFormatting>
  <conditionalFormatting sqref="U11:U13 U17:U19 U23:U25">
    <cfRule type="containsText" dxfId="1362" priority="106" operator="containsText" text="ht">
      <formula>NOT(ISERROR(SEARCH("ht",U11)))</formula>
    </cfRule>
    <cfRule type="containsText" dxfId="1361" priority="107" operator="containsText" text="mt">
      <formula>NOT(ISERROR(SEARCH("mt",U11)))</formula>
    </cfRule>
    <cfRule type="containsText" dxfId="1360" priority="108" operator="containsText" text="wt">
      <formula>NOT(ISERROR(SEARCH("wt",U11)))</formula>
    </cfRule>
  </conditionalFormatting>
  <conditionalFormatting sqref="B5:L5 C7:L7 C9:L9">
    <cfRule type="containsText" dxfId="1359" priority="86" operator="containsText" text="ht">
      <formula>NOT(ISERROR(SEARCH("ht",B5)))</formula>
    </cfRule>
    <cfRule type="containsText" dxfId="1358" priority="87" operator="containsText" text="mt">
      <formula>NOT(ISERROR(SEARCH("mt",B5)))</formula>
    </cfRule>
    <cfRule type="containsText" dxfId="1357" priority="88" operator="containsText" text="wt">
      <formula>NOT(ISERROR(SEARCH("wt",B5)))</formula>
    </cfRule>
  </conditionalFormatting>
  <conditionalFormatting sqref="U5:U7">
    <cfRule type="containsText" dxfId="1356" priority="118" operator="containsText" text="ht">
      <formula>NOT(ISERROR(SEARCH("ht",U5)))</formula>
    </cfRule>
    <cfRule type="containsText" dxfId="1355" priority="119" operator="containsText" text="mt">
      <formula>NOT(ISERROR(SEARCH("mt",U5)))</formula>
    </cfRule>
    <cfRule type="containsText" dxfId="1354" priority="120" operator="containsText" text="wt">
      <formula>NOT(ISERROR(SEARCH("wt",U5)))</formula>
    </cfRule>
  </conditionalFormatting>
  <conditionalFormatting sqref="U6:U7">
    <cfRule type="containsText" dxfId="1353" priority="123" operator="containsText" text="ht">
      <formula>NOT(ISERROR(SEARCH("ht",U6)))</formula>
    </cfRule>
    <cfRule type="containsText" dxfId="1352" priority="124" operator="containsText" text="mt">
      <formula>NOT(ISERROR(SEARCH("mt",U6)))</formula>
    </cfRule>
    <cfRule type="containsText" dxfId="1351" priority="125" operator="containsText" text="wt">
      <formula>NOT(ISERROR(SEARCH("wt",U6)))</formula>
    </cfRule>
  </conditionalFormatting>
  <conditionalFormatting sqref="U6:U7">
    <cfRule type="cellIs" dxfId="1350" priority="122" operator="greaterThan">
      <formula>$U$1</formula>
    </cfRule>
  </conditionalFormatting>
  <conditionalFormatting sqref="U5:U7">
    <cfRule type="cellIs" dxfId="1349" priority="121" operator="greaterThan">
      <formula>$G$22</formula>
    </cfRule>
  </conditionalFormatting>
  <conditionalFormatting sqref="U8:U10">
    <cfRule type="containsText" dxfId="1348" priority="114" operator="containsText" text="ht">
      <formula>NOT(ISERROR(SEARCH("ht",U8)))</formula>
    </cfRule>
    <cfRule type="containsText" dxfId="1347" priority="115" operator="containsText" text="mt">
      <formula>NOT(ISERROR(SEARCH("mt",U8)))</formula>
    </cfRule>
    <cfRule type="containsText" dxfId="1346" priority="116" operator="containsText" text="wt">
      <formula>NOT(ISERROR(SEARCH("wt",U8)))</formula>
    </cfRule>
  </conditionalFormatting>
  <conditionalFormatting sqref="U8:U10">
    <cfRule type="cellIs" dxfId="1345" priority="117" operator="greaterThan">
      <formula>$G$22</formula>
    </cfRule>
  </conditionalFormatting>
  <conditionalFormatting sqref="U12:U13 U18:U19 U24:U25">
    <cfRule type="containsText" dxfId="1344" priority="111" operator="containsText" text="ht">
      <formula>NOT(ISERROR(SEARCH("ht",U12)))</formula>
    </cfRule>
    <cfRule type="containsText" dxfId="1343" priority="112" operator="containsText" text="mt">
      <formula>NOT(ISERROR(SEARCH("mt",U12)))</formula>
    </cfRule>
    <cfRule type="containsText" dxfId="1342" priority="113" operator="containsText" text="wt">
      <formula>NOT(ISERROR(SEARCH("wt",U12)))</formula>
    </cfRule>
  </conditionalFormatting>
  <conditionalFormatting sqref="U12:U13 U18:U19 U24:U25">
    <cfRule type="cellIs" dxfId="1341" priority="110" operator="greaterThan">
      <formula>$U$1</formula>
    </cfRule>
  </conditionalFormatting>
  <conditionalFormatting sqref="U11:U13 U17:U19 U23:U25">
    <cfRule type="cellIs" dxfId="1340" priority="109" operator="greaterThan">
      <formula>$G$22</formula>
    </cfRule>
  </conditionalFormatting>
  <conditionalFormatting sqref="U14:U16 U22">
    <cfRule type="containsText" dxfId="1339" priority="102" operator="containsText" text="ht">
      <formula>NOT(ISERROR(SEARCH("ht",U14)))</formula>
    </cfRule>
    <cfRule type="containsText" dxfId="1338" priority="103" operator="containsText" text="mt">
      <formula>NOT(ISERROR(SEARCH("mt",U14)))</formula>
    </cfRule>
    <cfRule type="containsText" dxfId="1337" priority="104" operator="containsText" text="wt">
      <formula>NOT(ISERROR(SEARCH("wt",U14)))</formula>
    </cfRule>
  </conditionalFormatting>
  <conditionalFormatting sqref="U14:U16 U22">
    <cfRule type="cellIs" dxfId="1336" priority="105" operator="greaterThan">
      <formula>$G$22</formula>
    </cfRule>
  </conditionalFormatting>
  <conditionalFormatting sqref="U20:U21">
    <cfRule type="containsText" dxfId="1335" priority="16" operator="containsText" text="ht">
      <formula>NOT(ISERROR(SEARCH("ht",U20)))</formula>
    </cfRule>
    <cfRule type="containsText" dxfId="1334" priority="17" operator="containsText" text="mt">
      <formula>NOT(ISERROR(SEARCH("mt",U20)))</formula>
    </cfRule>
    <cfRule type="containsText" dxfId="1333" priority="18" operator="containsText" text="wt">
      <formula>NOT(ISERROR(SEARCH("wt",U20)))</formula>
    </cfRule>
  </conditionalFormatting>
  <conditionalFormatting sqref="C12:L12">
    <cfRule type="containsText" dxfId="1332" priority="96" operator="containsText" text="ht">
      <formula>NOT(ISERROR(SEARCH("ht",C12)))</formula>
    </cfRule>
    <cfRule type="containsText" dxfId="1331" priority="97" operator="containsText" text="mt">
      <formula>NOT(ISERROR(SEARCH("mt",C12)))</formula>
    </cfRule>
    <cfRule type="containsText" dxfId="1330" priority="98" operator="containsText" text="wt">
      <formula>NOT(ISERROR(SEARCH("wt",C12)))</formula>
    </cfRule>
  </conditionalFormatting>
  <conditionalFormatting sqref="C11:L11">
    <cfRule type="containsText" dxfId="1329" priority="99" operator="containsText" text="ht">
      <formula>NOT(ISERROR(SEARCH("ht",C11)))</formula>
    </cfRule>
    <cfRule type="containsText" dxfId="1328" priority="100" operator="containsText" text="mt">
      <formula>NOT(ISERROR(SEARCH("mt",C11)))</formula>
    </cfRule>
    <cfRule type="containsText" dxfId="1327" priority="101" operator="containsText" text="wt">
      <formula>NOT(ISERROR(SEARCH("wt",C11)))</formula>
    </cfRule>
  </conditionalFormatting>
  <conditionalFormatting sqref="C12:L12">
    <cfRule type="cellIs" dxfId="1326" priority="95" operator="equal">
      <formula>"?"</formula>
    </cfRule>
  </conditionalFormatting>
  <conditionalFormatting sqref="N17 N22 N26">
    <cfRule type="containsText" dxfId="1325" priority="92" operator="containsText" text="ht">
      <formula>NOT(ISERROR(SEARCH("ht",N17)))</formula>
    </cfRule>
    <cfRule type="containsText" dxfId="1324" priority="93" operator="containsText" text="mt">
      <formula>NOT(ISERROR(SEARCH("mt",N17)))</formula>
    </cfRule>
    <cfRule type="containsText" dxfId="1323" priority="94" operator="containsText" text="wt">
      <formula>NOT(ISERROR(SEARCH("wt",N17)))</formula>
    </cfRule>
  </conditionalFormatting>
  <conditionalFormatting sqref="C3 E3 A3:A10 B2:L2">
    <cfRule type="containsText" dxfId="1322" priority="89" operator="containsText" text="ht">
      <formula>NOT(ISERROR(SEARCH("ht",A2)))</formula>
    </cfRule>
    <cfRule type="containsText" dxfId="1321" priority="90" operator="containsText" text="mt">
      <formula>NOT(ISERROR(SEARCH("mt",A2)))</formula>
    </cfRule>
    <cfRule type="containsText" dxfId="1320" priority="91" operator="containsText" text="wt">
      <formula>NOT(ISERROR(SEARCH("wt",A2)))</formula>
    </cfRule>
  </conditionalFormatting>
  <conditionalFormatting sqref="B3 J4">
    <cfRule type="containsText" dxfId="1319" priority="83" operator="containsText" text="ht">
      <formula>NOT(ISERROR(SEARCH("ht",B3)))</formula>
    </cfRule>
    <cfRule type="containsText" dxfId="1318" priority="84" operator="containsText" text="mt">
      <formula>NOT(ISERROR(SEARCH("mt",B3)))</formula>
    </cfRule>
    <cfRule type="containsText" dxfId="1317" priority="85" operator="containsText" text="wt">
      <formula>NOT(ISERROR(SEARCH("wt",B3)))</formula>
    </cfRule>
  </conditionalFormatting>
  <conditionalFormatting sqref="B4">
    <cfRule type="containsText" dxfId="1316" priority="80" operator="containsText" text="ht">
      <formula>NOT(ISERROR(SEARCH("ht",B4)))</formula>
    </cfRule>
    <cfRule type="containsText" dxfId="1315" priority="81" operator="containsText" text="mt">
      <formula>NOT(ISERROR(SEARCH("mt",B4)))</formula>
    </cfRule>
    <cfRule type="containsText" dxfId="1314" priority="82" operator="containsText" text="wt">
      <formula>NOT(ISERROR(SEARCH("wt",B4)))</formula>
    </cfRule>
  </conditionalFormatting>
  <conditionalFormatting sqref="K4">
    <cfRule type="cellIs" dxfId="1313" priority="66" operator="equal">
      <formula>61</formula>
    </cfRule>
    <cfRule type="cellIs" dxfId="1312" priority="67" operator="equal">
      <formula>63</formula>
    </cfRule>
    <cfRule type="cellIs" dxfId="1311" priority="68" operator="equal">
      <formula>21</formula>
    </cfRule>
    <cfRule type="cellIs" dxfId="1310" priority="69" operator="equal">
      <formula>120</formula>
    </cfRule>
    <cfRule type="cellIs" dxfId="1309" priority="70" operator="equal">
      <formula>96</formula>
    </cfRule>
    <cfRule type="cellIs" dxfId="1308" priority="71" operator="equal">
      <formula>72</formula>
    </cfRule>
    <cfRule type="cellIs" dxfId="1307" priority="72" operator="equal">
      <formula>55</formula>
    </cfRule>
    <cfRule type="cellIs" dxfId="1306" priority="73" operator="equal">
      <formula>50</formula>
    </cfRule>
    <cfRule type="cellIs" dxfId="1305" priority="74" operator="equal">
      <formula>48</formula>
    </cfRule>
    <cfRule type="cellIs" dxfId="1304" priority="75" operator="equal">
      <formula>30</formula>
    </cfRule>
    <cfRule type="cellIs" dxfId="1303" priority="76" operator="equal">
      <formula>26</formula>
    </cfRule>
    <cfRule type="cellIs" dxfId="1302" priority="77" operator="equal">
      <formula>24</formula>
    </cfRule>
    <cfRule type="cellIs" dxfId="1301" priority="78" operator="equal">
      <formula>18</formula>
    </cfRule>
    <cfRule type="cellIs" dxfId="1300" priority="79" operator="equal">
      <formula>6</formula>
    </cfRule>
  </conditionalFormatting>
  <conditionalFormatting sqref="C3 K4">
    <cfRule type="containsBlanks" dxfId="1299" priority="65">
      <formula>LEN(TRIM(C3))=0</formula>
    </cfRule>
  </conditionalFormatting>
  <conditionalFormatting sqref="A2">
    <cfRule type="containsText" dxfId="1298" priority="62" operator="containsText" text="ht">
      <formula>NOT(ISERROR(SEARCH("ht",A2)))</formula>
    </cfRule>
    <cfRule type="containsText" dxfId="1297" priority="63" operator="containsText" text="mt">
      <formula>NOT(ISERROR(SEARCH("mt",A2)))</formula>
    </cfRule>
    <cfRule type="containsText" dxfId="1296" priority="64" operator="containsText" text="wt">
      <formula>NOT(ISERROR(SEARCH("wt",A2)))</formula>
    </cfRule>
  </conditionalFormatting>
  <conditionalFormatting sqref="J3">
    <cfRule type="containsText" dxfId="1295" priority="59" operator="containsText" text="ht">
      <formula>NOT(ISERROR(SEARCH("ht",J3)))</formula>
    </cfRule>
    <cfRule type="containsText" dxfId="1294" priority="60" operator="containsText" text="mt">
      <formula>NOT(ISERROR(SEARCH("mt",J3)))</formula>
    </cfRule>
    <cfRule type="containsText" dxfId="1293" priority="61" operator="containsText" text="wt">
      <formula>NOT(ISERROR(SEARCH("wt",J3)))</formula>
    </cfRule>
  </conditionalFormatting>
  <conditionalFormatting sqref="A1">
    <cfRule type="containsText" dxfId="1292" priority="56" operator="containsText" text="ht">
      <formula>NOT(ISERROR(SEARCH("ht",A1)))</formula>
    </cfRule>
    <cfRule type="containsText" dxfId="1291" priority="57" operator="containsText" text="mt">
      <formula>NOT(ISERROR(SEARCH("mt",A1)))</formula>
    </cfRule>
    <cfRule type="containsText" dxfId="1290" priority="58" operator="containsText" text="wt">
      <formula>NOT(ISERROR(SEARCH("wt",A1)))</formula>
    </cfRule>
  </conditionalFormatting>
  <conditionalFormatting sqref="A1">
    <cfRule type="containsBlanks" dxfId="1289" priority="55">
      <formula>LEN(TRIM(A1))=0</formula>
    </cfRule>
  </conditionalFormatting>
  <conditionalFormatting sqref="C4">
    <cfRule type="containsText" dxfId="1288" priority="51" operator="containsText" text="241/+ (F2s)">
      <formula>NOT(ISERROR(SEARCH("241/+ (F2s)",C4)))</formula>
    </cfRule>
    <cfRule type="containsText" dxfId="1287" priority="52" operator="containsText" text="187/+ (F2s)">
      <formula>NOT(ISERROR(SEARCH("187/+ (F2s)",C4)))</formula>
    </cfRule>
    <cfRule type="containsText" dxfId="1286" priority="53" operator="containsText" text="236/+ (F1s)">
      <formula>NOT(ISERROR(SEARCH("236/+ (F1s)",C4)))</formula>
    </cfRule>
    <cfRule type="containsText" dxfId="1285" priority="54" operator="containsText" text="241/+ (F1s)">
      <formula>NOT(ISERROR(SEARCH("241/+ (F1s)",C4)))</formula>
    </cfRule>
  </conditionalFormatting>
  <conditionalFormatting sqref="C4:H4">
    <cfRule type="containsBlanks" dxfId="1284" priority="50">
      <formula>LEN(TRIM(C4))=0</formula>
    </cfRule>
  </conditionalFormatting>
  <conditionalFormatting sqref="K3">
    <cfRule type="containsText" dxfId="1283" priority="47" operator="containsText" text="ht">
      <formula>NOT(ISERROR(SEARCH("ht",K3)))</formula>
    </cfRule>
    <cfRule type="containsText" dxfId="1282" priority="48" operator="containsText" text="mt">
      <formula>NOT(ISERROR(SEARCH("mt",K3)))</formula>
    </cfRule>
    <cfRule type="containsText" dxfId="1281" priority="49" operator="containsText" text="wt">
      <formula>NOT(ISERROR(SEARCH("wt",K3)))</formula>
    </cfRule>
  </conditionalFormatting>
  <conditionalFormatting sqref="K3">
    <cfRule type="containsBlanks" dxfId="1280" priority="46">
      <formula>LEN(TRIM(K3))=0</formula>
    </cfRule>
  </conditionalFormatting>
  <conditionalFormatting sqref="C6:L6">
    <cfRule type="containsText" dxfId="1279" priority="43" operator="containsText" text="ht">
      <formula>NOT(ISERROR(SEARCH("ht",C6)))</formula>
    </cfRule>
    <cfRule type="containsText" dxfId="1278" priority="44" operator="containsText" text="mt">
      <formula>NOT(ISERROR(SEARCH("mt",C6)))</formula>
    </cfRule>
    <cfRule type="containsText" dxfId="1277" priority="45" operator="containsText" text="wt">
      <formula>NOT(ISERROR(SEARCH("wt",C6)))</formula>
    </cfRule>
  </conditionalFormatting>
  <conditionalFormatting sqref="C6:L6">
    <cfRule type="cellIs" dxfId="1276" priority="42" operator="equal">
      <formula>"?"</formula>
    </cfRule>
  </conditionalFormatting>
  <conditionalFormatting sqref="C8:L8">
    <cfRule type="containsText" dxfId="1275" priority="39" operator="containsText" text="ht">
      <formula>NOT(ISERROR(SEARCH("ht",C8)))</formula>
    </cfRule>
    <cfRule type="containsText" dxfId="1274" priority="40" operator="containsText" text="mt">
      <formula>NOT(ISERROR(SEARCH("mt",C8)))</formula>
    </cfRule>
    <cfRule type="containsText" dxfId="1273" priority="41" operator="containsText" text="wt">
      <formula>NOT(ISERROR(SEARCH("wt",C8)))</formula>
    </cfRule>
  </conditionalFormatting>
  <conditionalFormatting sqref="C8:L8">
    <cfRule type="cellIs" dxfId="1272" priority="38" operator="equal">
      <formula>"?"</formula>
    </cfRule>
  </conditionalFormatting>
  <conditionalFormatting sqref="C10:L10">
    <cfRule type="containsText" dxfId="1271" priority="35" operator="containsText" text="ht">
      <formula>NOT(ISERROR(SEARCH("ht",C10)))</formula>
    </cfRule>
    <cfRule type="containsText" dxfId="1270" priority="36" operator="containsText" text="mt">
      <formula>NOT(ISERROR(SEARCH("mt",C10)))</formula>
    </cfRule>
    <cfRule type="containsText" dxfId="1269" priority="37" operator="containsText" text="wt">
      <formula>NOT(ISERROR(SEARCH("wt",C10)))</formula>
    </cfRule>
  </conditionalFormatting>
  <conditionalFormatting sqref="C10:L10">
    <cfRule type="cellIs" dxfId="1268" priority="34" operator="equal">
      <formula>"?"</formula>
    </cfRule>
  </conditionalFormatting>
  <conditionalFormatting sqref="C18">
    <cfRule type="containsText" dxfId="1267" priority="31" operator="containsText" text="ht">
      <formula>NOT(ISERROR(SEARCH("ht",C18)))</formula>
    </cfRule>
    <cfRule type="containsText" dxfId="1266" priority="32" operator="containsText" text="mt">
      <formula>NOT(ISERROR(SEARCH("mt",C18)))</formula>
    </cfRule>
    <cfRule type="containsText" dxfId="1265" priority="33" operator="containsText" text="wt">
      <formula>NOT(ISERROR(SEARCH("wt",C18)))</formula>
    </cfRule>
  </conditionalFormatting>
  <conditionalFormatting sqref="T12:T13 Q14:T24 Q5:T11">
    <cfRule type="containsText" dxfId="1264" priority="28" operator="containsText" text="ht">
      <formula>NOT(ISERROR(SEARCH("ht",Q5)))</formula>
    </cfRule>
    <cfRule type="containsText" dxfId="1263" priority="29" operator="containsText" text="mt">
      <formula>NOT(ISERROR(SEARCH("mt",Q5)))</formula>
    </cfRule>
    <cfRule type="containsText" dxfId="1262" priority="30" operator="containsText" text="wt">
      <formula>NOT(ISERROR(SEARCH("wt",Q5)))</formula>
    </cfRule>
  </conditionalFormatting>
  <conditionalFormatting sqref="Q12:S13">
    <cfRule type="containsText" dxfId="1261" priority="25" operator="containsText" text="ht">
      <formula>NOT(ISERROR(SEARCH("ht",Q12)))</formula>
    </cfRule>
    <cfRule type="containsText" dxfId="1260" priority="26" operator="containsText" text="mt">
      <formula>NOT(ISERROR(SEARCH("mt",Q12)))</formula>
    </cfRule>
    <cfRule type="containsText" dxfId="1259" priority="27" operator="containsText" text="wt">
      <formula>NOT(ISERROR(SEARCH("wt",Q12)))</formula>
    </cfRule>
  </conditionalFormatting>
  <conditionalFormatting sqref="O5:P17 P18 O19:P19 P20 O21:P24">
    <cfRule type="containsText" dxfId="1258" priority="22" operator="containsText" text="ht">
      <formula>NOT(ISERROR(SEARCH("ht",O5)))</formula>
    </cfRule>
    <cfRule type="containsText" dxfId="1257" priority="23" operator="containsText" text="mt">
      <formula>NOT(ISERROR(SEARCH("mt",O5)))</formula>
    </cfRule>
    <cfRule type="containsText" dxfId="1256" priority="24" operator="containsText" text="wt">
      <formula>NOT(ISERROR(SEARCH("wt",O5)))</formula>
    </cfRule>
  </conditionalFormatting>
  <conditionalFormatting sqref="V20:W21">
    <cfRule type="containsText" dxfId="1255" priority="19" operator="containsText" text="ht">
      <formula>NOT(ISERROR(SEARCH("ht",V20)))</formula>
    </cfRule>
    <cfRule type="containsText" dxfId="1254" priority="20" operator="containsText" text="mt">
      <formula>NOT(ISERROR(SEARCH("mt",V20)))</formula>
    </cfRule>
    <cfRule type="containsText" dxfId="1253" priority="21" operator="containsText" text="wt">
      <formula>NOT(ISERROR(SEARCH("wt",V20)))</formula>
    </cfRule>
  </conditionalFormatting>
  <conditionalFormatting sqref="U20:U21">
    <cfRule type="cellIs" dxfId="1252" priority="15" operator="greaterThan">
      <formula>$U$1</formula>
    </cfRule>
  </conditionalFormatting>
  <conditionalFormatting sqref="U20:U21">
    <cfRule type="containsText" dxfId="1251" priority="11" operator="containsText" text="ht">
      <formula>NOT(ISERROR(SEARCH("ht",U20)))</formula>
    </cfRule>
    <cfRule type="containsText" dxfId="1250" priority="12" operator="containsText" text="mt">
      <formula>NOT(ISERROR(SEARCH("mt",U20)))</formula>
    </cfRule>
    <cfRule type="containsText" dxfId="1249" priority="13" operator="containsText" text="wt">
      <formula>NOT(ISERROR(SEARCH("wt",U20)))</formula>
    </cfRule>
  </conditionalFormatting>
  <conditionalFormatting sqref="U20:U21">
    <cfRule type="cellIs" dxfId="1248" priority="14" operator="greaterThan">
      <formula>$G$22</formula>
    </cfRule>
  </conditionalFormatting>
  <conditionalFormatting sqref="H20:J20">
    <cfRule type="containsText" dxfId="1247" priority="8" operator="containsText" text="ht">
      <formula>NOT(ISERROR(SEARCH("ht",H20)))</formula>
    </cfRule>
    <cfRule type="containsText" dxfId="1246" priority="9" operator="containsText" text="mt">
      <formula>NOT(ISERROR(SEARCH("mt",H20)))</formula>
    </cfRule>
    <cfRule type="containsText" dxfId="1245" priority="10" operator="containsText" text="wt">
      <formula>NOT(ISERROR(SEARCH("wt",H20)))</formula>
    </cfRule>
  </conditionalFormatting>
  <conditionalFormatting sqref="K20:L20">
    <cfRule type="containsText" dxfId="1244" priority="5" operator="containsText" text="ht">
      <formula>NOT(ISERROR(SEARCH("ht",K20)))</formula>
    </cfRule>
    <cfRule type="containsText" dxfId="1243" priority="6" operator="containsText" text="mt">
      <formula>NOT(ISERROR(SEARCH("mt",K20)))</formula>
    </cfRule>
    <cfRule type="containsText" dxfId="1242" priority="7" operator="containsText" text="wt">
      <formula>NOT(ISERROR(SEARCH("wt",K20)))</formula>
    </cfRule>
  </conditionalFormatting>
  <conditionalFormatting sqref="B6">
    <cfRule type="containsText" dxfId="1241" priority="2" operator="containsText" text="ht">
      <formula>NOT(ISERROR(SEARCH("ht",B6)))</formula>
    </cfRule>
    <cfRule type="containsText" dxfId="1240" priority="3" operator="containsText" text="mt">
      <formula>NOT(ISERROR(SEARCH("mt",B6)))</formula>
    </cfRule>
    <cfRule type="containsText" dxfId="1239" priority="4" operator="containsText" text="wt">
      <formula>NOT(ISERROR(SEARCH("wt",B6)))</formula>
    </cfRule>
  </conditionalFormatting>
  <conditionalFormatting sqref="B6:B9">
    <cfRule type="containsBlanks" dxfId="1238" priority="1">
      <formula>LEN(TRIM(B6))=0</formula>
    </cfRule>
  </conditionalFormatting>
  <conditionalFormatting sqref="AB1:AB3 AB14:AB1048576 AB8">
    <cfRule type="containsText" dxfId="1237" priority="341" operator="containsText" text="ht">
      <formula>NOT(ISERROR(SEARCH("ht",#REF!)))</formula>
    </cfRule>
    <cfRule type="containsText" dxfId="1236" priority="342" operator="containsText" text="mt">
      <formula>NOT(ISERROR(SEARCH("mt",#REF!)))</formula>
    </cfRule>
    <cfRule type="containsText" dxfId="1235" priority="343" operator="containsText" text="wt">
      <formula>NOT(ISERROR(SEARCH("wt",#REF!)))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6"/>
  <sheetViews>
    <sheetView zoomScale="80" zoomScaleNormal="80" workbookViewId="0">
      <selection activeCell="W1" sqref="W1"/>
    </sheetView>
  </sheetViews>
  <sheetFormatPr defaultColWidth="9.140625" defaultRowHeight="15" x14ac:dyDescent="0.25"/>
  <cols>
    <col min="1" max="1" width="7.42578125" style="3" customWidth="1"/>
    <col min="2" max="2" width="7.140625" style="3" customWidth="1"/>
    <col min="3" max="7" width="5.42578125" style="3" customWidth="1"/>
    <col min="8" max="8" width="6" style="3" bestFit="1" customWidth="1"/>
    <col min="9" max="9" width="5.42578125" style="3" customWidth="1"/>
    <col min="10" max="10" width="6.28515625" style="3" bestFit="1" customWidth="1"/>
    <col min="11" max="11" width="5.42578125" style="3" customWidth="1"/>
    <col min="12" max="12" width="5.28515625" style="3" customWidth="1"/>
    <col min="13" max="13" width="5.7109375" style="3" customWidth="1"/>
    <col min="14" max="14" width="4.28515625" style="3" customWidth="1"/>
    <col min="15" max="16" width="9.140625" style="3"/>
    <col min="17" max="17" width="12.85546875" style="3" customWidth="1"/>
    <col min="18" max="18" width="7" style="3" bestFit="1" customWidth="1"/>
    <col min="19" max="19" width="9.140625" style="3" bestFit="1" customWidth="1"/>
    <col min="20" max="20" width="7.85546875" style="3" bestFit="1" customWidth="1"/>
    <col min="21" max="21" width="12.85546875" style="3" customWidth="1"/>
    <col min="22" max="22" width="13.28515625" style="3" customWidth="1"/>
    <col min="23" max="23" width="12.42578125" style="3" customWidth="1"/>
    <col min="24" max="24" width="5.7109375" style="3" customWidth="1"/>
    <col min="25" max="25" width="8.42578125" style="3" customWidth="1"/>
    <col min="26" max="26" width="32.85546875" style="3" customWidth="1"/>
    <col min="27" max="28" width="11.140625" style="3" customWidth="1"/>
    <col min="29" max="29" width="10.42578125" style="3" bestFit="1" customWidth="1"/>
    <col min="30" max="30" width="9.140625" style="3"/>
    <col min="31" max="33" width="5.7109375" style="3" customWidth="1"/>
    <col min="34" max="34" width="9.42578125" style="3" customWidth="1"/>
    <col min="35" max="38" width="5.7109375" style="3" customWidth="1"/>
    <col min="39" max="39" width="7.42578125" style="3" customWidth="1"/>
    <col min="40" max="40" width="9.28515625" style="3" bestFit="1" customWidth="1"/>
    <col min="41" max="16384" width="9.140625" style="3"/>
  </cols>
  <sheetData>
    <row r="1" spans="1:40" x14ac:dyDescent="0.25">
      <c r="A1" s="1"/>
      <c r="B1" s="2"/>
      <c r="M1" s="2"/>
      <c r="P1" s="4" t="s">
        <v>0</v>
      </c>
      <c r="Q1" s="102">
        <f>F15+J15</f>
        <v>0</v>
      </c>
      <c r="R1" s="102"/>
      <c r="T1" s="4" t="s">
        <v>1</v>
      </c>
      <c r="U1" s="102">
        <f>F15+J16</f>
        <v>0</v>
      </c>
      <c r="V1" s="102"/>
      <c r="W1" s="5">
        <f>MAX(V5:V44)</f>
        <v>0</v>
      </c>
      <c r="AH1" s="2"/>
      <c r="AN1" s="6"/>
    </row>
    <row r="2" spans="1:40" x14ac:dyDescent="0.25">
      <c r="A2" s="2"/>
      <c r="B2" s="2"/>
      <c r="AI2" s="103" t="s">
        <v>2</v>
      </c>
      <c r="AJ2" s="104"/>
      <c r="AK2" s="105"/>
      <c r="AN2" s="6"/>
    </row>
    <row r="3" spans="1:40" ht="15" customHeight="1" x14ac:dyDescent="0.25">
      <c r="B3" s="7" t="s">
        <v>3</v>
      </c>
      <c r="C3" s="8">
        <f>A1</f>
        <v>0</v>
      </c>
      <c r="D3" s="9"/>
      <c r="E3" s="9"/>
      <c r="J3" s="7" t="s">
        <v>4</v>
      </c>
      <c r="K3" s="106"/>
      <c r="L3" s="107"/>
      <c r="O3" s="108" t="s">
        <v>5</v>
      </c>
      <c r="P3" s="108" t="s">
        <v>6</v>
      </c>
      <c r="Q3" s="109" t="s">
        <v>7</v>
      </c>
      <c r="R3" s="109"/>
      <c r="S3" s="109"/>
      <c r="T3" s="109"/>
      <c r="U3" s="108" t="s">
        <v>8</v>
      </c>
      <c r="V3" s="108" t="s">
        <v>9</v>
      </c>
      <c r="W3" s="108" t="s">
        <v>10</v>
      </c>
      <c r="Y3" s="10" t="s">
        <v>11</v>
      </c>
      <c r="Z3" s="10" t="s">
        <v>12</v>
      </c>
      <c r="AA3" s="10" t="s">
        <v>13</v>
      </c>
      <c r="AB3" s="10" t="s">
        <v>14</v>
      </c>
      <c r="AC3" s="10" t="s">
        <v>15</v>
      </c>
      <c r="AD3" s="10" t="s">
        <v>16</v>
      </c>
      <c r="AE3" s="10" t="s">
        <v>17</v>
      </c>
      <c r="AF3" s="10" t="s">
        <v>18</v>
      </c>
      <c r="AG3" s="10" t="s">
        <v>19</v>
      </c>
      <c r="AH3" s="10" t="s">
        <v>20</v>
      </c>
      <c r="AI3" s="11" t="s">
        <v>17</v>
      </c>
      <c r="AJ3" s="11" t="s">
        <v>18</v>
      </c>
      <c r="AK3" s="11" t="s">
        <v>19</v>
      </c>
      <c r="AM3" s="3" t="s">
        <v>21</v>
      </c>
      <c r="AN3" s="3">
        <f>A1</f>
        <v>0</v>
      </c>
    </row>
    <row r="4" spans="1:40" x14ac:dyDescent="0.25">
      <c r="B4" s="12" t="s">
        <v>22</v>
      </c>
      <c r="C4" s="99"/>
      <c r="D4" s="99"/>
      <c r="E4" s="99"/>
      <c r="F4" s="99"/>
      <c r="G4" s="99"/>
      <c r="H4" s="99"/>
      <c r="J4" s="7" t="s">
        <v>23</v>
      </c>
      <c r="K4" s="100"/>
      <c r="L4" s="100"/>
      <c r="O4" s="108"/>
      <c r="P4" s="108"/>
      <c r="Q4" s="13" t="s">
        <v>24</v>
      </c>
      <c r="R4" s="4" t="s">
        <v>25</v>
      </c>
      <c r="S4" s="4" t="s">
        <v>26</v>
      </c>
      <c r="T4" s="4" t="s">
        <v>27</v>
      </c>
      <c r="U4" s="108"/>
      <c r="V4" s="108"/>
      <c r="W4" s="108"/>
      <c r="Y4" s="14">
        <f>C3</f>
        <v>0</v>
      </c>
      <c r="Z4" s="15">
        <f>C4</f>
        <v>0</v>
      </c>
      <c r="AA4" s="16">
        <f>K4</f>
        <v>0</v>
      </c>
      <c r="AB4" s="17" t="s">
        <v>28</v>
      </c>
      <c r="AC4" s="18">
        <f>K3</f>
        <v>0</v>
      </c>
      <c r="AD4" s="14">
        <f>E13</f>
        <v>0</v>
      </c>
      <c r="AE4" s="14">
        <f>H13</f>
        <v>0</v>
      </c>
      <c r="AF4" s="14">
        <f>J13</f>
        <v>0</v>
      </c>
      <c r="AG4" s="14">
        <f>L13</f>
        <v>0</v>
      </c>
      <c r="AH4" s="14" t="s">
        <v>29</v>
      </c>
      <c r="AI4" s="14">
        <f>H20</f>
        <v>0</v>
      </c>
      <c r="AJ4" s="14">
        <f>J20</f>
        <v>0</v>
      </c>
      <c r="AK4" s="14">
        <f>L20</f>
        <v>0</v>
      </c>
      <c r="AM4" s="3" t="s">
        <v>30</v>
      </c>
      <c r="AN4" s="3">
        <f>B6</f>
        <v>0</v>
      </c>
    </row>
    <row r="5" spans="1:40" ht="15" customHeight="1" x14ac:dyDescent="0.25"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N5" s="83">
        <v>1</v>
      </c>
      <c r="O5" s="19" t="s">
        <v>31</v>
      </c>
      <c r="P5" s="19" t="s">
        <v>32</v>
      </c>
      <c r="Q5" s="20"/>
      <c r="R5" s="20"/>
      <c r="S5" s="20"/>
      <c r="T5" s="20"/>
      <c r="U5" s="20">
        <f>T5-Q5</f>
        <v>0</v>
      </c>
      <c r="V5" s="21">
        <f>(($K$3+T5)-$Q$1)*24</f>
        <v>0</v>
      </c>
      <c r="W5" s="22"/>
      <c r="Y5" s="14"/>
      <c r="Z5" s="16"/>
      <c r="AA5" s="16"/>
      <c r="AB5" s="16"/>
      <c r="AC5" s="18"/>
      <c r="AD5" s="14"/>
      <c r="AE5" s="14"/>
      <c r="AF5" s="14"/>
      <c r="AG5" s="14"/>
      <c r="AH5" s="14"/>
      <c r="AI5" s="14"/>
      <c r="AJ5" s="14"/>
      <c r="AK5" s="14"/>
      <c r="AM5" s="3" t="s">
        <v>31</v>
      </c>
      <c r="AN5" s="23" t="str">
        <f t="array" ref="AN5:AN14">TRANSPOSE(C6:L6)</f>
        <v>X</v>
      </c>
    </row>
    <row r="6" spans="1:40" x14ac:dyDescent="0.25">
      <c r="B6" s="101"/>
      <c r="C6" s="24" t="s">
        <v>33</v>
      </c>
      <c r="D6" s="24" t="s">
        <v>33</v>
      </c>
      <c r="E6" s="24" t="s">
        <v>33</v>
      </c>
      <c r="F6" s="24" t="s">
        <v>33</v>
      </c>
      <c r="G6" s="24" t="s">
        <v>33</v>
      </c>
      <c r="H6" s="24" t="s">
        <v>33</v>
      </c>
      <c r="I6" s="24" t="s">
        <v>33</v>
      </c>
      <c r="J6" s="24" t="s">
        <v>33</v>
      </c>
      <c r="K6" s="24" t="s">
        <v>33</v>
      </c>
      <c r="L6" s="24" t="s">
        <v>33</v>
      </c>
      <c r="N6" s="83"/>
      <c r="O6" s="19" t="s">
        <v>34</v>
      </c>
      <c r="P6" s="19" t="s">
        <v>32</v>
      </c>
      <c r="Q6" s="20">
        <f>Q5</f>
        <v>0</v>
      </c>
      <c r="R6" s="20">
        <f t="shared" ref="R6:S8" si="0">R5</f>
        <v>0</v>
      </c>
      <c r="S6" s="20">
        <f t="shared" si="0"/>
        <v>0</v>
      </c>
      <c r="T6" s="20"/>
      <c r="U6" s="20">
        <f t="shared" ref="U6:U24" si="1">T6-Q6</f>
        <v>0</v>
      </c>
      <c r="V6" s="21">
        <f t="shared" ref="V6:V44" si="2">(($K$3+T6)-$Q$1)*24</f>
        <v>0</v>
      </c>
      <c r="W6" s="22"/>
      <c r="Y6" s="2"/>
      <c r="Z6" s="25"/>
      <c r="AA6" s="26"/>
      <c r="AB6" s="26"/>
      <c r="AC6" s="27"/>
      <c r="AD6" s="2"/>
      <c r="AE6" s="2"/>
      <c r="AF6" s="2"/>
      <c r="AG6" s="2"/>
      <c r="AH6" s="2"/>
      <c r="AI6" s="2"/>
      <c r="AJ6" s="2"/>
      <c r="AK6" s="2"/>
      <c r="AM6" s="3" t="s">
        <v>34</v>
      </c>
      <c r="AN6" s="23" t="str">
        <v>X</v>
      </c>
    </row>
    <row r="7" spans="1:40" x14ac:dyDescent="0.25">
      <c r="B7" s="101"/>
      <c r="C7" s="3">
        <v>11</v>
      </c>
      <c r="D7" s="3">
        <v>12</v>
      </c>
      <c r="E7" s="3">
        <v>13</v>
      </c>
      <c r="F7" s="3">
        <v>14</v>
      </c>
      <c r="G7" s="3">
        <v>15</v>
      </c>
      <c r="H7" s="3">
        <v>16</v>
      </c>
      <c r="I7" s="3">
        <v>17</v>
      </c>
      <c r="J7" s="3">
        <v>18</v>
      </c>
      <c r="K7" s="3">
        <v>19</v>
      </c>
      <c r="L7" s="3">
        <v>20</v>
      </c>
      <c r="N7" s="83"/>
      <c r="O7" s="19" t="s">
        <v>35</v>
      </c>
      <c r="P7" s="19" t="s">
        <v>32</v>
      </c>
      <c r="Q7" s="20">
        <f>Q6</f>
        <v>0</v>
      </c>
      <c r="R7" s="20">
        <f t="shared" si="0"/>
        <v>0</v>
      </c>
      <c r="S7" s="20">
        <f t="shared" si="0"/>
        <v>0</v>
      </c>
      <c r="T7" s="20"/>
      <c r="U7" s="20">
        <f t="shared" si="1"/>
        <v>0</v>
      </c>
      <c r="V7" s="21">
        <f t="shared" si="2"/>
        <v>0</v>
      </c>
      <c r="W7" s="22"/>
      <c r="Y7" s="2"/>
      <c r="Z7" s="25"/>
      <c r="AA7" s="26"/>
      <c r="AB7" s="26"/>
      <c r="AC7" s="27"/>
      <c r="AD7" s="2"/>
      <c r="AE7" s="2"/>
      <c r="AF7" s="2"/>
      <c r="AG7" s="2"/>
      <c r="AH7" s="2"/>
      <c r="AI7" s="2"/>
      <c r="AJ7" s="2"/>
      <c r="AK7" s="2"/>
      <c r="AM7" s="3" t="s">
        <v>35</v>
      </c>
      <c r="AN7" s="23" t="str">
        <v>X</v>
      </c>
    </row>
    <row r="8" spans="1:40" x14ac:dyDescent="0.25">
      <c r="B8" s="101"/>
      <c r="C8" s="24" t="s">
        <v>33</v>
      </c>
      <c r="D8" s="24" t="s">
        <v>33</v>
      </c>
      <c r="E8" s="24" t="s">
        <v>33</v>
      </c>
      <c r="F8" s="24" t="s">
        <v>33</v>
      </c>
      <c r="G8" s="24" t="s">
        <v>33</v>
      </c>
      <c r="H8" s="24" t="s">
        <v>33</v>
      </c>
      <c r="I8" s="24" t="s">
        <v>33</v>
      </c>
      <c r="J8" s="24" t="s">
        <v>33</v>
      </c>
      <c r="K8" s="24" t="s">
        <v>33</v>
      </c>
      <c r="L8" s="24" t="s">
        <v>33</v>
      </c>
      <c r="N8" s="83"/>
      <c r="O8" s="19" t="s">
        <v>36</v>
      </c>
      <c r="P8" s="19" t="s">
        <v>32</v>
      </c>
      <c r="Q8" s="20">
        <f>Q7</f>
        <v>0</v>
      </c>
      <c r="R8" s="20">
        <f t="shared" si="0"/>
        <v>0</v>
      </c>
      <c r="S8" s="20">
        <f t="shared" si="0"/>
        <v>0</v>
      </c>
      <c r="T8" s="20"/>
      <c r="U8" s="20">
        <f t="shared" si="1"/>
        <v>0</v>
      </c>
      <c r="V8" s="21">
        <f t="shared" si="2"/>
        <v>0</v>
      </c>
      <c r="W8" s="22"/>
      <c r="Z8" s="2"/>
      <c r="AM8" s="3" t="s">
        <v>36</v>
      </c>
      <c r="AN8" s="23" t="str">
        <v>X</v>
      </c>
    </row>
    <row r="9" spans="1:40" x14ac:dyDescent="0.25">
      <c r="B9" s="101"/>
      <c r="C9" s="3">
        <v>21</v>
      </c>
      <c r="D9" s="3">
        <v>22</v>
      </c>
      <c r="E9" s="3">
        <v>23</v>
      </c>
      <c r="F9" s="3">
        <v>24</v>
      </c>
      <c r="G9" s="3">
        <v>25</v>
      </c>
      <c r="H9" s="3">
        <v>26</v>
      </c>
      <c r="I9" s="3">
        <v>27</v>
      </c>
      <c r="J9" s="3">
        <v>28</v>
      </c>
      <c r="K9" s="3">
        <v>29</v>
      </c>
      <c r="L9" s="3">
        <v>30</v>
      </c>
      <c r="N9" s="83">
        <v>2</v>
      </c>
      <c r="O9" s="3" t="s">
        <v>37</v>
      </c>
      <c r="P9" s="3" t="s">
        <v>32</v>
      </c>
      <c r="Q9" s="28"/>
      <c r="R9" s="28"/>
      <c r="S9" s="28"/>
      <c r="T9" s="28"/>
      <c r="U9" s="28">
        <f t="shared" si="1"/>
        <v>0</v>
      </c>
      <c r="V9" s="29">
        <f t="shared" si="2"/>
        <v>0</v>
      </c>
      <c r="W9" s="30"/>
      <c r="AM9" s="3" t="s">
        <v>37</v>
      </c>
      <c r="AN9" s="23" t="str">
        <v>X</v>
      </c>
    </row>
    <row r="10" spans="1:40" x14ac:dyDescent="0.25">
      <c r="B10" s="101" t="s">
        <v>38</v>
      </c>
      <c r="C10" s="24" t="s">
        <v>33</v>
      </c>
      <c r="D10" s="24" t="s">
        <v>33</v>
      </c>
      <c r="E10" s="24" t="s">
        <v>33</v>
      </c>
      <c r="F10" s="24" t="s">
        <v>33</v>
      </c>
      <c r="G10" s="24" t="s">
        <v>33</v>
      </c>
      <c r="H10" s="24" t="s">
        <v>33</v>
      </c>
      <c r="I10" s="24" t="s">
        <v>33</v>
      </c>
      <c r="J10" s="24" t="s">
        <v>33</v>
      </c>
      <c r="K10" s="24" t="s">
        <v>33</v>
      </c>
      <c r="L10" s="24" t="s">
        <v>33</v>
      </c>
      <c r="N10" s="83"/>
      <c r="O10" s="3" t="s">
        <v>39</v>
      </c>
      <c r="P10" s="3" t="s">
        <v>32</v>
      </c>
      <c r="Q10" s="28">
        <f>Q9</f>
        <v>0</v>
      </c>
      <c r="R10" s="28">
        <f t="shared" ref="R10:S10" si="3">R9</f>
        <v>0</v>
      </c>
      <c r="S10" s="28">
        <f t="shared" si="3"/>
        <v>0</v>
      </c>
      <c r="T10" s="28"/>
      <c r="U10" s="28">
        <f t="shared" si="1"/>
        <v>0</v>
      </c>
      <c r="V10" s="29">
        <f t="shared" si="2"/>
        <v>0</v>
      </c>
      <c r="W10" s="30"/>
      <c r="AM10" s="3" t="s">
        <v>39</v>
      </c>
      <c r="AN10" s="23" t="str">
        <v>X</v>
      </c>
    </row>
    <row r="11" spans="1:40" x14ac:dyDescent="0.25">
      <c r="B11" s="101"/>
      <c r="C11" s="3">
        <v>31</v>
      </c>
      <c r="D11" s="3">
        <v>32</v>
      </c>
      <c r="E11" s="3">
        <v>33</v>
      </c>
      <c r="F11" s="3">
        <v>34</v>
      </c>
      <c r="G11" s="3">
        <v>35</v>
      </c>
      <c r="H11" s="3">
        <v>36</v>
      </c>
      <c r="I11" s="3">
        <v>37</v>
      </c>
      <c r="J11" s="3">
        <v>38</v>
      </c>
      <c r="K11" s="3">
        <v>39</v>
      </c>
      <c r="L11" s="3">
        <v>40</v>
      </c>
      <c r="N11" s="83"/>
      <c r="O11" s="3" t="s">
        <v>40</v>
      </c>
      <c r="P11" s="3" t="s">
        <v>32</v>
      </c>
      <c r="Q11" s="28">
        <f t="shared" ref="Q11:S12" si="4">Q10</f>
        <v>0</v>
      </c>
      <c r="R11" s="28">
        <f t="shared" si="4"/>
        <v>0</v>
      </c>
      <c r="S11" s="28">
        <f t="shared" si="4"/>
        <v>0</v>
      </c>
      <c r="T11" s="28"/>
      <c r="U11" s="28">
        <f t="shared" si="1"/>
        <v>0</v>
      </c>
      <c r="V11" s="29">
        <f t="shared" si="2"/>
        <v>0</v>
      </c>
      <c r="W11" s="30"/>
      <c r="AM11" s="3" t="s">
        <v>40</v>
      </c>
      <c r="AN11" s="23" t="str">
        <v>X</v>
      </c>
    </row>
    <row r="12" spans="1:40" ht="15" customHeight="1" x14ac:dyDescent="0.25">
      <c r="B12" s="101"/>
      <c r="C12" s="24" t="s">
        <v>33</v>
      </c>
      <c r="D12" s="24" t="s">
        <v>33</v>
      </c>
      <c r="E12" s="24" t="s">
        <v>33</v>
      </c>
      <c r="F12" s="24" t="s">
        <v>33</v>
      </c>
      <c r="G12" s="24" t="s">
        <v>33</v>
      </c>
      <c r="H12" s="24" t="s">
        <v>33</v>
      </c>
      <c r="I12" s="24" t="s">
        <v>33</v>
      </c>
      <c r="J12" s="24" t="s">
        <v>33</v>
      </c>
      <c r="K12" s="24" t="s">
        <v>33</v>
      </c>
      <c r="L12" s="24" t="s">
        <v>33</v>
      </c>
      <c r="N12" s="83"/>
      <c r="O12" s="3" t="s">
        <v>41</v>
      </c>
      <c r="P12" s="3" t="s">
        <v>32</v>
      </c>
      <c r="Q12" s="28">
        <f>Q11</f>
        <v>0</v>
      </c>
      <c r="R12" s="28">
        <f t="shared" si="4"/>
        <v>0</v>
      </c>
      <c r="S12" s="28">
        <f t="shared" si="4"/>
        <v>0</v>
      </c>
      <c r="T12" s="28"/>
      <c r="U12" s="28">
        <f t="shared" si="1"/>
        <v>0</v>
      </c>
      <c r="V12" s="29">
        <f t="shared" si="2"/>
        <v>0</v>
      </c>
      <c r="W12" s="30"/>
      <c r="AM12" s="3" t="s">
        <v>41</v>
      </c>
      <c r="AN12" s="23" t="str">
        <v>X</v>
      </c>
    </row>
    <row r="13" spans="1:40" ht="15" customHeight="1" x14ac:dyDescent="0.25">
      <c r="C13" s="31" t="s">
        <v>42</v>
      </c>
      <c r="D13" s="31"/>
      <c r="E13" s="32">
        <f>H13+J13+L13</f>
        <v>0</v>
      </c>
      <c r="G13" s="32" t="s">
        <v>17</v>
      </c>
      <c r="H13" s="32">
        <f>COUNTIF(C6:L12,"*"&amp;G13&amp;"*")</f>
        <v>0</v>
      </c>
      <c r="I13" s="32" t="s">
        <v>18</v>
      </c>
      <c r="J13" s="32">
        <f>COUNTIF(C6:L12,"*"&amp;I13&amp;"*")</f>
        <v>0</v>
      </c>
      <c r="K13" s="32" t="s">
        <v>19</v>
      </c>
      <c r="L13" s="32">
        <f>COUNTIF(C6:L12,"*"&amp;K13&amp;"*")</f>
        <v>0</v>
      </c>
      <c r="N13" s="83">
        <v>3</v>
      </c>
      <c r="O13" s="19" t="s">
        <v>43</v>
      </c>
      <c r="P13" s="19" t="s">
        <v>32</v>
      </c>
      <c r="Q13" s="20"/>
      <c r="R13" s="20"/>
      <c r="S13" s="20"/>
      <c r="T13" s="20"/>
      <c r="U13" s="20">
        <f t="shared" si="1"/>
        <v>0</v>
      </c>
      <c r="V13" s="21">
        <f t="shared" si="2"/>
        <v>0</v>
      </c>
      <c r="W13" s="22"/>
      <c r="AM13" s="3" t="s">
        <v>43</v>
      </c>
      <c r="AN13" s="23" t="str">
        <v>X</v>
      </c>
    </row>
    <row r="14" spans="1:40" ht="15" customHeight="1" x14ac:dyDescent="0.25">
      <c r="N14" s="83"/>
      <c r="O14" s="19" t="s">
        <v>44</v>
      </c>
      <c r="P14" s="19" t="s">
        <v>32</v>
      </c>
      <c r="Q14" s="20">
        <f>Q13</f>
        <v>0</v>
      </c>
      <c r="R14" s="20">
        <f>R13</f>
        <v>0</v>
      </c>
      <c r="S14" s="20">
        <f>S13</f>
        <v>0</v>
      </c>
      <c r="T14" s="20"/>
      <c r="U14" s="20">
        <f t="shared" si="1"/>
        <v>0</v>
      </c>
      <c r="V14" s="21">
        <f t="shared" si="2"/>
        <v>0</v>
      </c>
      <c r="W14" s="22"/>
      <c r="AM14" s="3" t="s">
        <v>44</v>
      </c>
      <c r="AN14" s="23" t="str">
        <v>X</v>
      </c>
    </row>
    <row r="15" spans="1:40" x14ac:dyDescent="0.25">
      <c r="C15" s="33" t="s">
        <v>45</v>
      </c>
      <c r="D15" s="34"/>
      <c r="E15" s="34" t="s">
        <v>46</v>
      </c>
      <c r="F15" s="84"/>
      <c r="G15" s="84"/>
      <c r="H15" s="35" t="s">
        <v>47</v>
      </c>
      <c r="I15" s="36" t="s">
        <v>48</v>
      </c>
      <c r="J15" s="37"/>
      <c r="K15" s="85"/>
      <c r="L15" s="86"/>
      <c r="N15" s="83"/>
      <c r="O15" s="19" t="s">
        <v>49</v>
      </c>
      <c r="P15" s="19" t="s">
        <v>32</v>
      </c>
      <c r="Q15" s="20">
        <f>Q14</f>
        <v>0</v>
      </c>
      <c r="R15" s="20">
        <f t="shared" ref="R15:S15" si="5">R14</f>
        <v>0</v>
      </c>
      <c r="S15" s="20">
        <f t="shared" si="5"/>
        <v>0</v>
      </c>
      <c r="T15" s="20"/>
      <c r="U15" s="20">
        <f t="shared" si="1"/>
        <v>0</v>
      </c>
      <c r="V15" s="21">
        <f t="shared" si="2"/>
        <v>0</v>
      </c>
      <c r="W15" s="22"/>
      <c r="AM15" s="3" t="s">
        <v>49</v>
      </c>
      <c r="AN15" s="23" t="str">
        <f t="array" ref="AN15:AN24">TRANSPOSE(C8:L8)</f>
        <v>X</v>
      </c>
    </row>
    <row r="16" spans="1:40" x14ac:dyDescent="0.25">
      <c r="C16" s="38"/>
      <c r="D16" s="39"/>
      <c r="E16" s="39"/>
      <c r="F16" s="39"/>
      <c r="G16" s="39"/>
      <c r="H16" s="39"/>
      <c r="I16" s="40" t="s">
        <v>50</v>
      </c>
      <c r="J16" s="41"/>
      <c r="K16" s="87"/>
      <c r="L16" s="88"/>
      <c r="N16" s="83"/>
      <c r="O16" s="19" t="s">
        <v>51</v>
      </c>
      <c r="P16" s="19" t="s">
        <v>32</v>
      </c>
      <c r="Q16" s="20">
        <f t="shared" ref="Q16:S16" si="6">Q15</f>
        <v>0</v>
      </c>
      <c r="R16" s="20">
        <f t="shared" si="6"/>
        <v>0</v>
      </c>
      <c r="S16" s="20">
        <f t="shared" si="6"/>
        <v>0</v>
      </c>
      <c r="T16" s="20"/>
      <c r="U16" s="20">
        <f t="shared" si="1"/>
        <v>0</v>
      </c>
      <c r="V16" s="21">
        <f t="shared" si="2"/>
        <v>0</v>
      </c>
      <c r="W16" s="22"/>
      <c r="AM16" s="3" t="s">
        <v>51</v>
      </c>
      <c r="AN16" s="23" t="str">
        <v>X</v>
      </c>
    </row>
    <row r="17" spans="3:40" x14ac:dyDescent="0.25">
      <c r="C17" s="38"/>
      <c r="D17" s="39"/>
      <c r="E17" s="39"/>
      <c r="F17" s="39"/>
      <c r="G17" s="39"/>
      <c r="H17" s="39"/>
      <c r="I17" s="39"/>
      <c r="J17" s="39"/>
      <c r="K17" s="39"/>
      <c r="L17" s="42"/>
      <c r="N17" s="83">
        <v>4</v>
      </c>
      <c r="O17" s="3" t="s">
        <v>52</v>
      </c>
      <c r="P17" s="3" t="s">
        <v>32</v>
      </c>
      <c r="Q17" s="28"/>
      <c r="R17" s="28"/>
      <c r="S17" s="28"/>
      <c r="T17" s="28"/>
      <c r="U17" s="28">
        <f t="shared" si="1"/>
        <v>0</v>
      </c>
      <c r="V17" s="29">
        <f t="shared" si="2"/>
        <v>0</v>
      </c>
      <c r="W17" s="30"/>
      <c r="AM17" s="3" t="s">
        <v>52</v>
      </c>
      <c r="AN17" s="23" t="str">
        <v>X</v>
      </c>
    </row>
    <row r="18" spans="3:40" x14ac:dyDescent="0.25">
      <c r="C18" s="43"/>
      <c r="D18" s="44"/>
      <c r="E18" s="44"/>
      <c r="F18" s="44"/>
      <c r="G18" s="44"/>
      <c r="H18" s="44"/>
      <c r="I18" s="44"/>
      <c r="J18" s="44"/>
      <c r="K18" s="44"/>
      <c r="L18" s="45"/>
      <c r="N18" s="83"/>
      <c r="O18" s="3" t="s">
        <v>53</v>
      </c>
      <c r="P18" s="3" t="s">
        <v>32</v>
      </c>
      <c r="Q18" s="28">
        <f>Q17</f>
        <v>0</v>
      </c>
      <c r="R18" s="28">
        <f t="shared" ref="R18:S20" si="7">R17</f>
        <v>0</v>
      </c>
      <c r="S18" s="28">
        <f t="shared" si="7"/>
        <v>0</v>
      </c>
      <c r="T18" s="28"/>
      <c r="U18" s="28">
        <f t="shared" si="1"/>
        <v>0</v>
      </c>
      <c r="V18" s="29">
        <f t="shared" si="2"/>
        <v>0</v>
      </c>
      <c r="W18" s="30"/>
      <c r="AM18" s="3" t="s">
        <v>53</v>
      </c>
      <c r="AN18" s="23" t="str">
        <v>X</v>
      </c>
    </row>
    <row r="19" spans="3:40" x14ac:dyDescent="0.25">
      <c r="N19" s="83"/>
      <c r="O19" s="3" t="s">
        <v>54</v>
      </c>
      <c r="P19" s="3" t="s">
        <v>32</v>
      </c>
      <c r="Q19" s="28">
        <f t="shared" ref="Q19" si="8">Q18</f>
        <v>0</v>
      </c>
      <c r="R19" s="28">
        <f t="shared" si="7"/>
        <v>0</v>
      </c>
      <c r="S19" s="28">
        <f t="shared" si="7"/>
        <v>0</v>
      </c>
      <c r="T19" s="28"/>
      <c r="U19" s="28">
        <f t="shared" si="1"/>
        <v>0</v>
      </c>
      <c r="V19" s="29">
        <f t="shared" si="2"/>
        <v>0</v>
      </c>
      <c r="W19" s="30"/>
      <c r="AM19" s="3" t="s">
        <v>54</v>
      </c>
      <c r="AN19" s="23" t="str">
        <v>X</v>
      </c>
    </row>
    <row r="20" spans="3:40" x14ac:dyDescent="0.25">
      <c r="C20" s="97" t="s">
        <v>55</v>
      </c>
      <c r="D20" s="97"/>
      <c r="E20" s="97"/>
      <c r="F20" s="97"/>
      <c r="G20" s="32" t="s">
        <v>17</v>
      </c>
      <c r="H20" s="32"/>
      <c r="I20" s="32" t="s">
        <v>18</v>
      </c>
      <c r="J20" s="32"/>
      <c r="K20" s="32" t="s">
        <v>19</v>
      </c>
      <c r="L20" s="32"/>
      <c r="N20" s="83"/>
      <c r="O20" s="3" t="s">
        <v>56</v>
      </c>
      <c r="P20" s="3" t="s">
        <v>32</v>
      </c>
      <c r="Q20" s="28">
        <f>Q19</f>
        <v>0</v>
      </c>
      <c r="R20" s="28">
        <f t="shared" si="7"/>
        <v>0</v>
      </c>
      <c r="S20" s="28">
        <f t="shared" si="7"/>
        <v>0</v>
      </c>
      <c r="T20" s="28"/>
      <c r="U20" s="28">
        <f t="shared" si="1"/>
        <v>0</v>
      </c>
      <c r="V20" s="29">
        <f t="shared" si="2"/>
        <v>0</v>
      </c>
      <c r="W20" s="30"/>
      <c r="AM20" s="3" t="s">
        <v>56</v>
      </c>
      <c r="AN20" s="23" t="str">
        <v>X</v>
      </c>
    </row>
    <row r="21" spans="3:40" x14ac:dyDescent="0.25">
      <c r="N21" s="83">
        <v>5</v>
      </c>
      <c r="O21" s="19" t="s">
        <v>57</v>
      </c>
      <c r="P21" s="19" t="s">
        <v>32</v>
      </c>
      <c r="Q21" s="20"/>
      <c r="R21" s="20"/>
      <c r="S21" s="20"/>
      <c r="T21" s="20"/>
      <c r="U21" s="20">
        <f t="shared" si="1"/>
        <v>0</v>
      </c>
      <c r="V21" s="21">
        <f t="shared" si="2"/>
        <v>0</v>
      </c>
      <c r="W21" s="22"/>
      <c r="AM21" s="3" t="s">
        <v>57</v>
      </c>
      <c r="AN21" s="23" t="str">
        <v>X</v>
      </c>
    </row>
    <row r="22" spans="3:40" x14ac:dyDescent="0.25">
      <c r="C22" s="97" t="s">
        <v>58</v>
      </c>
      <c r="D22" s="97"/>
      <c r="E22" s="97"/>
      <c r="F22" s="97"/>
      <c r="G22" s="98">
        <v>2.0833333333333332E-2</v>
      </c>
      <c r="H22" s="98"/>
      <c r="I22" s="3" t="s">
        <v>59</v>
      </c>
      <c r="N22" s="83"/>
      <c r="O22" s="19" t="s">
        <v>60</v>
      </c>
      <c r="P22" s="19" t="s">
        <v>32</v>
      </c>
      <c r="Q22" s="20">
        <f t="shared" ref="Q22:S24" si="9">Q21</f>
        <v>0</v>
      </c>
      <c r="R22" s="20">
        <f t="shared" si="9"/>
        <v>0</v>
      </c>
      <c r="S22" s="20">
        <f t="shared" si="9"/>
        <v>0</v>
      </c>
      <c r="T22" s="20"/>
      <c r="U22" s="20">
        <f t="shared" si="1"/>
        <v>0</v>
      </c>
      <c r="V22" s="21">
        <f t="shared" si="2"/>
        <v>0</v>
      </c>
      <c r="W22" s="22"/>
      <c r="AM22" s="3" t="s">
        <v>60</v>
      </c>
      <c r="AN22" s="23" t="str">
        <v>X</v>
      </c>
    </row>
    <row r="23" spans="3:40" x14ac:dyDescent="0.25">
      <c r="N23" s="83"/>
      <c r="O23" s="19" t="s">
        <v>61</v>
      </c>
      <c r="P23" s="19" t="s">
        <v>32</v>
      </c>
      <c r="Q23" s="20">
        <f t="shared" si="9"/>
        <v>0</v>
      </c>
      <c r="R23" s="20">
        <f t="shared" si="9"/>
        <v>0</v>
      </c>
      <c r="S23" s="20">
        <f t="shared" si="9"/>
        <v>0</v>
      </c>
      <c r="T23" s="20"/>
      <c r="U23" s="20">
        <f t="shared" si="1"/>
        <v>0</v>
      </c>
      <c r="V23" s="21">
        <f t="shared" si="2"/>
        <v>0</v>
      </c>
      <c r="W23" s="22"/>
      <c r="AM23" s="3" t="s">
        <v>61</v>
      </c>
      <c r="AN23" s="23" t="str">
        <v>X</v>
      </c>
    </row>
    <row r="24" spans="3:40" x14ac:dyDescent="0.25">
      <c r="N24" s="83"/>
      <c r="O24" s="19" t="s">
        <v>62</v>
      </c>
      <c r="P24" s="19" t="s">
        <v>32</v>
      </c>
      <c r="Q24" s="20">
        <f t="shared" si="9"/>
        <v>0</v>
      </c>
      <c r="R24" s="20">
        <f t="shared" si="9"/>
        <v>0</v>
      </c>
      <c r="S24" s="20">
        <f t="shared" si="9"/>
        <v>0</v>
      </c>
      <c r="T24" s="20"/>
      <c r="U24" s="20">
        <f t="shared" si="1"/>
        <v>0</v>
      </c>
      <c r="V24" s="21">
        <f t="shared" si="2"/>
        <v>0</v>
      </c>
      <c r="W24" s="22"/>
      <c r="AM24" s="3" t="s">
        <v>62</v>
      </c>
      <c r="AN24" s="23" t="str">
        <v>X</v>
      </c>
    </row>
    <row r="25" spans="3:40" x14ac:dyDescent="0.25">
      <c r="N25" s="83">
        <v>6</v>
      </c>
      <c r="O25" s="3" t="s">
        <v>63</v>
      </c>
      <c r="P25" s="3" t="s">
        <v>32</v>
      </c>
      <c r="Q25" s="28"/>
      <c r="R25" s="28"/>
      <c r="S25" s="28"/>
      <c r="T25" s="28"/>
      <c r="U25" s="28">
        <f>T25-Q25</f>
        <v>0</v>
      </c>
      <c r="V25" s="29">
        <f t="shared" si="2"/>
        <v>0</v>
      </c>
      <c r="W25" s="30"/>
      <c r="AM25" s="3" t="s">
        <v>63</v>
      </c>
      <c r="AN25" s="23" t="str">
        <f t="array" ref="AN25:AN34">TRANSPOSE(C10:L10)</f>
        <v>X</v>
      </c>
    </row>
    <row r="26" spans="3:40" x14ac:dyDescent="0.25">
      <c r="N26" s="83"/>
      <c r="O26" s="3" t="s">
        <v>64</v>
      </c>
      <c r="P26" s="3" t="s">
        <v>32</v>
      </c>
      <c r="Q26" s="28">
        <f>Q25</f>
        <v>0</v>
      </c>
      <c r="R26" s="28">
        <f t="shared" ref="R26:S26" si="10">R25</f>
        <v>0</v>
      </c>
      <c r="S26" s="28">
        <f t="shared" si="10"/>
        <v>0</v>
      </c>
      <c r="T26" s="28"/>
      <c r="U26" s="28">
        <f t="shared" ref="U26:U44" si="11">T26-Q26</f>
        <v>0</v>
      </c>
      <c r="V26" s="29">
        <f t="shared" si="2"/>
        <v>0</v>
      </c>
      <c r="W26" s="30"/>
      <c r="AM26" s="3" t="s">
        <v>64</v>
      </c>
      <c r="AN26" s="23" t="str">
        <v>X</v>
      </c>
    </row>
    <row r="27" spans="3:40" x14ac:dyDescent="0.25">
      <c r="N27" s="83"/>
      <c r="O27" s="3" t="s">
        <v>65</v>
      </c>
      <c r="P27" s="3" t="s">
        <v>32</v>
      </c>
      <c r="Q27" s="28">
        <f t="shared" ref="Q27:S28" si="12">Q26</f>
        <v>0</v>
      </c>
      <c r="R27" s="28">
        <f t="shared" si="12"/>
        <v>0</v>
      </c>
      <c r="S27" s="28">
        <f t="shared" si="12"/>
        <v>0</v>
      </c>
      <c r="T27" s="28"/>
      <c r="U27" s="28">
        <f t="shared" si="11"/>
        <v>0</v>
      </c>
      <c r="V27" s="29">
        <f t="shared" si="2"/>
        <v>0</v>
      </c>
      <c r="W27" s="30"/>
      <c r="AM27" s="3" t="s">
        <v>65</v>
      </c>
      <c r="AN27" s="23" t="str">
        <v>X</v>
      </c>
    </row>
    <row r="28" spans="3:40" ht="15" customHeight="1" x14ac:dyDescent="0.25">
      <c r="N28" s="83"/>
      <c r="O28" s="3" t="s">
        <v>66</v>
      </c>
      <c r="P28" s="3" t="s">
        <v>32</v>
      </c>
      <c r="Q28" s="28">
        <f>Q27</f>
        <v>0</v>
      </c>
      <c r="R28" s="28">
        <f t="shared" si="12"/>
        <v>0</v>
      </c>
      <c r="S28" s="28">
        <f t="shared" si="12"/>
        <v>0</v>
      </c>
      <c r="T28" s="28"/>
      <c r="U28" s="28">
        <f t="shared" si="11"/>
        <v>0</v>
      </c>
      <c r="V28" s="29">
        <f t="shared" si="2"/>
        <v>0</v>
      </c>
      <c r="W28" s="30"/>
      <c r="AM28" s="3" t="s">
        <v>66</v>
      </c>
      <c r="AN28" s="23" t="str">
        <v>X</v>
      </c>
    </row>
    <row r="29" spans="3:40" x14ac:dyDescent="0.25">
      <c r="N29" s="83">
        <v>7</v>
      </c>
      <c r="O29" s="19" t="s">
        <v>67</v>
      </c>
      <c r="P29" s="19" t="s">
        <v>32</v>
      </c>
      <c r="Q29" s="20"/>
      <c r="R29" s="20"/>
      <c r="S29" s="20"/>
      <c r="T29" s="20"/>
      <c r="U29" s="20">
        <f t="shared" si="11"/>
        <v>0</v>
      </c>
      <c r="V29" s="21">
        <f t="shared" si="2"/>
        <v>0</v>
      </c>
      <c r="W29" s="22"/>
      <c r="AM29" s="3" t="s">
        <v>67</v>
      </c>
      <c r="AN29" s="23" t="str">
        <v>X</v>
      </c>
    </row>
    <row r="30" spans="3:40" x14ac:dyDescent="0.25">
      <c r="N30" s="83"/>
      <c r="O30" s="19" t="s">
        <v>68</v>
      </c>
      <c r="P30" s="19" t="s">
        <v>32</v>
      </c>
      <c r="Q30" s="20">
        <f t="shared" ref="Q30:S32" si="13">Q29</f>
        <v>0</v>
      </c>
      <c r="R30" s="20">
        <f t="shared" si="13"/>
        <v>0</v>
      </c>
      <c r="S30" s="20">
        <f t="shared" si="13"/>
        <v>0</v>
      </c>
      <c r="T30" s="20"/>
      <c r="U30" s="20">
        <f t="shared" si="11"/>
        <v>0</v>
      </c>
      <c r="V30" s="21">
        <f t="shared" si="2"/>
        <v>0</v>
      </c>
      <c r="W30" s="22"/>
      <c r="AM30" s="3" t="s">
        <v>68</v>
      </c>
      <c r="AN30" s="23" t="str">
        <v>X</v>
      </c>
    </row>
    <row r="31" spans="3:40" x14ac:dyDescent="0.25">
      <c r="N31" s="83"/>
      <c r="O31" s="19" t="s">
        <v>69</v>
      </c>
      <c r="P31" s="19" t="s">
        <v>32</v>
      </c>
      <c r="Q31" s="20">
        <f t="shared" si="13"/>
        <v>0</v>
      </c>
      <c r="R31" s="20">
        <f t="shared" si="13"/>
        <v>0</v>
      </c>
      <c r="S31" s="20">
        <f t="shared" si="13"/>
        <v>0</v>
      </c>
      <c r="T31" s="20"/>
      <c r="U31" s="20">
        <f t="shared" si="11"/>
        <v>0</v>
      </c>
      <c r="V31" s="21">
        <f t="shared" si="2"/>
        <v>0</v>
      </c>
      <c r="W31" s="22"/>
      <c r="AM31" s="3" t="s">
        <v>69</v>
      </c>
      <c r="AN31" s="23" t="str">
        <v>X</v>
      </c>
    </row>
    <row r="32" spans="3:40" x14ac:dyDescent="0.25">
      <c r="C32" s="46"/>
      <c r="D32" s="46"/>
      <c r="E32" s="46"/>
      <c r="F32" s="46"/>
      <c r="G32" s="46"/>
      <c r="H32" s="46"/>
      <c r="I32" s="46"/>
      <c r="J32" s="46"/>
      <c r="K32" s="46"/>
      <c r="L32" s="46"/>
      <c r="N32" s="83"/>
      <c r="O32" s="19" t="s">
        <v>70</v>
      </c>
      <c r="P32" s="19" t="s">
        <v>32</v>
      </c>
      <c r="Q32" s="20">
        <f t="shared" si="13"/>
        <v>0</v>
      </c>
      <c r="R32" s="20">
        <f t="shared" si="13"/>
        <v>0</v>
      </c>
      <c r="S32" s="20">
        <f t="shared" si="13"/>
        <v>0</v>
      </c>
      <c r="T32" s="20"/>
      <c r="U32" s="20">
        <f t="shared" si="11"/>
        <v>0</v>
      </c>
      <c r="V32" s="21">
        <f t="shared" si="2"/>
        <v>0</v>
      </c>
      <c r="W32" s="22"/>
      <c r="AM32" s="3" t="s">
        <v>70</v>
      </c>
      <c r="AN32" s="23" t="str">
        <v>X</v>
      </c>
    </row>
    <row r="33" spans="14:40" x14ac:dyDescent="0.25">
      <c r="N33" s="83">
        <v>8</v>
      </c>
      <c r="O33" s="3" t="s">
        <v>71</v>
      </c>
      <c r="P33" s="3" t="s">
        <v>32</v>
      </c>
      <c r="Q33" s="28"/>
      <c r="R33" s="28"/>
      <c r="S33" s="28"/>
      <c r="T33" s="28"/>
      <c r="U33" s="28">
        <f t="shared" si="11"/>
        <v>0</v>
      </c>
      <c r="V33" s="29">
        <f t="shared" si="2"/>
        <v>0</v>
      </c>
      <c r="W33" s="30"/>
      <c r="AM33" s="3" t="s">
        <v>71</v>
      </c>
      <c r="AN33" s="23" t="str">
        <v>X</v>
      </c>
    </row>
    <row r="34" spans="14:40" x14ac:dyDescent="0.25">
      <c r="N34" s="83"/>
      <c r="O34" s="3" t="s">
        <v>72</v>
      </c>
      <c r="P34" s="3" t="s">
        <v>32</v>
      </c>
      <c r="Q34" s="28">
        <f>Q33</f>
        <v>0</v>
      </c>
      <c r="R34" s="28">
        <f t="shared" ref="R34:S36" si="14">R33</f>
        <v>0</v>
      </c>
      <c r="S34" s="28">
        <f t="shared" si="14"/>
        <v>0</v>
      </c>
      <c r="T34" s="28"/>
      <c r="U34" s="28">
        <f t="shared" si="11"/>
        <v>0</v>
      </c>
      <c r="V34" s="29">
        <f t="shared" si="2"/>
        <v>0</v>
      </c>
      <c r="W34" s="30"/>
      <c r="AM34" s="3" t="s">
        <v>72</v>
      </c>
      <c r="AN34" s="23" t="str">
        <v>X</v>
      </c>
    </row>
    <row r="35" spans="14:40" x14ac:dyDescent="0.25">
      <c r="N35" s="83"/>
      <c r="O35" s="3" t="s">
        <v>73</v>
      </c>
      <c r="P35" s="3" t="s">
        <v>32</v>
      </c>
      <c r="Q35" s="28">
        <f t="shared" ref="Q35" si="15">Q34</f>
        <v>0</v>
      </c>
      <c r="R35" s="28">
        <f t="shared" si="14"/>
        <v>0</v>
      </c>
      <c r="S35" s="28">
        <f t="shared" si="14"/>
        <v>0</v>
      </c>
      <c r="T35" s="28"/>
      <c r="U35" s="28">
        <f t="shared" si="11"/>
        <v>0</v>
      </c>
      <c r="V35" s="29">
        <f t="shared" si="2"/>
        <v>0</v>
      </c>
      <c r="W35" s="30"/>
      <c r="AM35" s="3" t="s">
        <v>73</v>
      </c>
      <c r="AN35" s="23" t="str">
        <f t="array" ref="AN35:AN44">TRANSPOSE(C12:L12)</f>
        <v>X</v>
      </c>
    </row>
    <row r="36" spans="14:40" x14ac:dyDescent="0.25">
      <c r="N36" s="83"/>
      <c r="O36" s="3" t="s">
        <v>74</v>
      </c>
      <c r="P36" s="3" t="s">
        <v>32</v>
      </c>
      <c r="Q36" s="28">
        <f>Q35</f>
        <v>0</v>
      </c>
      <c r="R36" s="28">
        <f t="shared" si="14"/>
        <v>0</v>
      </c>
      <c r="S36" s="28">
        <f t="shared" si="14"/>
        <v>0</v>
      </c>
      <c r="T36" s="28"/>
      <c r="U36" s="28">
        <f t="shared" si="11"/>
        <v>0</v>
      </c>
      <c r="V36" s="29">
        <f t="shared" si="2"/>
        <v>0</v>
      </c>
      <c r="W36" s="30"/>
      <c r="AM36" s="3" t="s">
        <v>74</v>
      </c>
      <c r="AN36" s="23" t="str">
        <v>X</v>
      </c>
    </row>
    <row r="37" spans="14:40" ht="15" customHeight="1" x14ac:dyDescent="0.25">
      <c r="N37" s="83">
        <v>9</v>
      </c>
      <c r="O37" s="19" t="s">
        <v>75</v>
      </c>
      <c r="P37" s="19" t="s">
        <v>32</v>
      </c>
      <c r="Q37" s="20"/>
      <c r="R37" s="20"/>
      <c r="S37" s="20"/>
      <c r="T37" s="20"/>
      <c r="U37" s="20">
        <f t="shared" si="11"/>
        <v>0</v>
      </c>
      <c r="V37" s="21">
        <f t="shared" si="2"/>
        <v>0</v>
      </c>
      <c r="W37" s="22"/>
      <c r="AM37" s="3" t="s">
        <v>75</v>
      </c>
      <c r="AN37" s="23" t="str">
        <v>X</v>
      </c>
    </row>
    <row r="38" spans="14:40" x14ac:dyDescent="0.25">
      <c r="N38" s="83"/>
      <c r="O38" s="19" t="s">
        <v>76</v>
      </c>
      <c r="P38" s="19" t="s">
        <v>32</v>
      </c>
      <c r="Q38" s="20">
        <f t="shared" ref="Q38:S40" si="16">Q37</f>
        <v>0</v>
      </c>
      <c r="R38" s="20">
        <f t="shared" si="16"/>
        <v>0</v>
      </c>
      <c r="S38" s="20">
        <f t="shared" si="16"/>
        <v>0</v>
      </c>
      <c r="T38" s="20"/>
      <c r="U38" s="20">
        <f t="shared" si="11"/>
        <v>0</v>
      </c>
      <c r="V38" s="21">
        <f t="shared" si="2"/>
        <v>0</v>
      </c>
      <c r="W38" s="22"/>
      <c r="AM38" s="3" t="s">
        <v>76</v>
      </c>
      <c r="AN38" s="23" t="str">
        <v>X</v>
      </c>
    </row>
    <row r="39" spans="14:40" x14ac:dyDescent="0.25">
      <c r="N39" s="83"/>
      <c r="O39" s="19" t="s">
        <v>77</v>
      </c>
      <c r="P39" s="19" t="s">
        <v>32</v>
      </c>
      <c r="Q39" s="20">
        <f t="shared" si="16"/>
        <v>0</v>
      </c>
      <c r="R39" s="20">
        <f t="shared" si="16"/>
        <v>0</v>
      </c>
      <c r="S39" s="20">
        <f t="shared" si="16"/>
        <v>0</v>
      </c>
      <c r="T39" s="20"/>
      <c r="U39" s="20">
        <f t="shared" si="11"/>
        <v>0</v>
      </c>
      <c r="V39" s="21">
        <f t="shared" si="2"/>
        <v>0</v>
      </c>
      <c r="W39" s="22"/>
      <c r="AM39" s="3" t="s">
        <v>77</v>
      </c>
      <c r="AN39" s="23" t="str">
        <v>X</v>
      </c>
    </row>
    <row r="40" spans="14:40" x14ac:dyDescent="0.25">
      <c r="N40" s="83"/>
      <c r="O40" s="19" t="s">
        <v>78</v>
      </c>
      <c r="P40" s="19" t="s">
        <v>32</v>
      </c>
      <c r="Q40" s="20">
        <f t="shared" si="16"/>
        <v>0</v>
      </c>
      <c r="R40" s="20">
        <f t="shared" si="16"/>
        <v>0</v>
      </c>
      <c r="S40" s="20">
        <f t="shared" si="16"/>
        <v>0</v>
      </c>
      <c r="T40" s="20"/>
      <c r="U40" s="20">
        <f t="shared" si="11"/>
        <v>0</v>
      </c>
      <c r="V40" s="21">
        <f t="shared" si="2"/>
        <v>0</v>
      </c>
      <c r="W40" s="22"/>
      <c r="AM40" s="3" t="s">
        <v>78</v>
      </c>
      <c r="AN40" s="23" t="str">
        <v>X</v>
      </c>
    </row>
    <row r="41" spans="14:40" x14ac:dyDescent="0.25">
      <c r="N41" s="83">
        <v>10</v>
      </c>
      <c r="O41" s="3" t="s">
        <v>79</v>
      </c>
      <c r="P41" s="3" t="s">
        <v>32</v>
      </c>
      <c r="Q41" s="28"/>
      <c r="R41" s="28"/>
      <c r="S41" s="28"/>
      <c r="T41" s="28"/>
      <c r="U41" s="28">
        <f t="shared" si="11"/>
        <v>0</v>
      </c>
      <c r="V41" s="29">
        <f t="shared" si="2"/>
        <v>0</v>
      </c>
      <c r="W41" s="30"/>
      <c r="AM41" s="3" t="s">
        <v>79</v>
      </c>
      <c r="AN41" s="23" t="str">
        <v>X</v>
      </c>
    </row>
    <row r="42" spans="14:40" x14ac:dyDescent="0.25">
      <c r="N42" s="83"/>
      <c r="O42" s="3" t="s">
        <v>80</v>
      </c>
      <c r="P42" s="3" t="s">
        <v>32</v>
      </c>
      <c r="Q42" s="28">
        <f t="shared" ref="Q42:S44" si="17">Q41</f>
        <v>0</v>
      </c>
      <c r="R42" s="28">
        <f t="shared" si="17"/>
        <v>0</v>
      </c>
      <c r="S42" s="28">
        <f t="shared" si="17"/>
        <v>0</v>
      </c>
      <c r="T42" s="28"/>
      <c r="U42" s="28">
        <f t="shared" si="11"/>
        <v>0</v>
      </c>
      <c r="V42" s="29">
        <f t="shared" si="2"/>
        <v>0</v>
      </c>
      <c r="W42" s="30"/>
      <c r="AM42" s="3" t="s">
        <v>80</v>
      </c>
      <c r="AN42" s="23" t="str">
        <v>X</v>
      </c>
    </row>
    <row r="43" spans="14:40" x14ac:dyDescent="0.25">
      <c r="N43" s="83"/>
      <c r="O43" s="3" t="s">
        <v>81</v>
      </c>
      <c r="P43" s="3" t="s">
        <v>32</v>
      </c>
      <c r="Q43" s="28">
        <f t="shared" si="17"/>
        <v>0</v>
      </c>
      <c r="R43" s="28">
        <f t="shared" si="17"/>
        <v>0</v>
      </c>
      <c r="S43" s="28">
        <f t="shared" si="17"/>
        <v>0</v>
      </c>
      <c r="T43" s="28"/>
      <c r="U43" s="28">
        <f t="shared" si="11"/>
        <v>0</v>
      </c>
      <c r="V43" s="29">
        <f t="shared" si="2"/>
        <v>0</v>
      </c>
      <c r="W43" s="30"/>
      <c r="AM43" s="3" t="s">
        <v>81</v>
      </c>
      <c r="AN43" s="23" t="str">
        <v>X</v>
      </c>
    </row>
    <row r="44" spans="14:40" x14ac:dyDescent="0.25">
      <c r="N44" s="83"/>
      <c r="O44" s="3" t="s">
        <v>82</v>
      </c>
      <c r="P44" s="3" t="s">
        <v>32</v>
      </c>
      <c r="Q44" s="28">
        <f t="shared" si="17"/>
        <v>0</v>
      </c>
      <c r="R44" s="28">
        <f t="shared" si="17"/>
        <v>0</v>
      </c>
      <c r="S44" s="28">
        <f t="shared" si="17"/>
        <v>0</v>
      </c>
      <c r="T44" s="28"/>
      <c r="U44" s="28">
        <f t="shared" si="11"/>
        <v>0</v>
      </c>
      <c r="V44" s="29">
        <f t="shared" si="2"/>
        <v>0</v>
      </c>
      <c r="W44" s="30"/>
      <c r="AM44" s="3" t="s">
        <v>82</v>
      </c>
      <c r="AN44" s="23" t="str">
        <v>X</v>
      </c>
    </row>
    <row r="45" spans="14:40" x14ac:dyDescent="0.25">
      <c r="N45" s="47"/>
      <c r="O45" s="47"/>
      <c r="P45" s="47"/>
      <c r="Q45" s="47"/>
      <c r="R45" s="47"/>
      <c r="S45" s="47"/>
      <c r="T45" s="47"/>
      <c r="U45" s="47"/>
      <c r="V45" s="47"/>
      <c r="W45" s="47"/>
    </row>
    <row r="46" spans="14:40" x14ac:dyDescent="0.25">
      <c r="N46" s="47"/>
      <c r="O46" s="47"/>
      <c r="P46" s="47"/>
      <c r="Q46" s="47"/>
      <c r="R46" s="47"/>
      <c r="S46" s="47"/>
      <c r="T46" s="47"/>
      <c r="U46" s="47"/>
      <c r="V46" s="47"/>
      <c r="W46" s="47"/>
    </row>
    <row r="47" spans="14:40" x14ac:dyDescent="0.25">
      <c r="N47" s="47"/>
      <c r="O47" s="47"/>
      <c r="P47" s="47"/>
      <c r="Q47" s="47"/>
      <c r="R47" s="47"/>
      <c r="S47" s="47"/>
      <c r="T47" s="47"/>
      <c r="U47" s="47"/>
      <c r="V47" s="47"/>
      <c r="W47" s="47"/>
    </row>
    <row r="48" spans="14:40" x14ac:dyDescent="0.25">
      <c r="N48" s="47"/>
      <c r="O48" s="47"/>
      <c r="P48" s="47"/>
      <c r="Q48" s="47"/>
      <c r="R48" s="47"/>
      <c r="S48" s="47"/>
      <c r="T48" s="47"/>
      <c r="U48" s="47"/>
      <c r="V48" s="47"/>
      <c r="W48" s="47"/>
    </row>
    <row r="49" spans="14:23" x14ac:dyDescent="0.25">
      <c r="N49" s="47"/>
      <c r="O49" s="47"/>
      <c r="P49" s="47"/>
      <c r="Q49" s="47"/>
      <c r="R49" s="47"/>
      <c r="S49" s="47"/>
      <c r="T49" s="47"/>
      <c r="U49" s="47"/>
      <c r="V49" s="47"/>
      <c r="W49" s="47"/>
    </row>
    <row r="50" spans="14:23" x14ac:dyDescent="0.25">
      <c r="N50" s="47"/>
      <c r="O50" s="47"/>
      <c r="P50" s="47"/>
      <c r="Q50" s="47"/>
      <c r="R50" s="47"/>
      <c r="S50" s="47"/>
      <c r="T50" s="47"/>
      <c r="U50" s="47"/>
      <c r="V50" s="47"/>
      <c r="W50" s="47"/>
    </row>
    <row r="51" spans="14:23" x14ac:dyDescent="0.25">
      <c r="N51" s="47"/>
      <c r="O51" s="47"/>
      <c r="P51" s="47"/>
      <c r="Q51" s="47"/>
      <c r="R51" s="47"/>
      <c r="S51" s="47"/>
      <c r="T51" s="47"/>
      <c r="U51" s="47"/>
      <c r="V51" s="47"/>
      <c r="W51" s="47"/>
    </row>
    <row r="52" spans="14:23" x14ac:dyDescent="0.25">
      <c r="N52" s="47"/>
      <c r="O52" s="47"/>
      <c r="P52" s="47"/>
      <c r="Q52" s="47"/>
      <c r="R52" s="47"/>
      <c r="S52" s="47"/>
      <c r="T52" s="47"/>
      <c r="U52" s="47"/>
      <c r="V52" s="47"/>
      <c r="W52" s="47"/>
    </row>
    <row r="53" spans="14:23" x14ac:dyDescent="0.25">
      <c r="N53" s="47"/>
      <c r="O53" s="47"/>
      <c r="P53" s="47"/>
      <c r="Q53" s="47"/>
      <c r="R53" s="47"/>
      <c r="S53" s="47"/>
      <c r="T53" s="47"/>
      <c r="U53" s="47"/>
      <c r="V53" s="47"/>
      <c r="W53" s="47"/>
    </row>
    <row r="54" spans="14:23" x14ac:dyDescent="0.25">
      <c r="N54" s="47"/>
      <c r="O54" s="47"/>
      <c r="P54" s="47"/>
      <c r="Q54" s="47"/>
      <c r="R54" s="47"/>
      <c r="S54" s="47"/>
      <c r="T54" s="47"/>
      <c r="U54" s="47"/>
      <c r="V54" s="47"/>
      <c r="W54" s="47"/>
    </row>
    <row r="55" spans="14:23" x14ac:dyDescent="0.25">
      <c r="N55" s="47"/>
      <c r="O55" s="47"/>
      <c r="P55" s="47"/>
      <c r="Q55" s="47"/>
      <c r="R55" s="47"/>
      <c r="S55" s="47"/>
      <c r="T55" s="47"/>
      <c r="U55" s="47"/>
      <c r="V55" s="47"/>
      <c r="W55" s="47"/>
    </row>
    <row r="56" spans="14:23" x14ac:dyDescent="0.25">
      <c r="N56" s="47"/>
      <c r="O56" s="47"/>
      <c r="P56" s="47"/>
      <c r="Q56" s="47"/>
      <c r="R56" s="47"/>
      <c r="S56" s="47"/>
      <c r="T56" s="47"/>
      <c r="U56" s="47"/>
      <c r="V56" s="47"/>
      <c r="W56" s="47"/>
    </row>
  </sheetData>
  <mergeCells count="30">
    <mergeCell ref="Q1:R1"/>
    <mergeCell ref="U1:V1"/>
    <mergeCell ref="AI2:AK2"/>
    <mergeCell ref="K3:L3"/>
    <mergeCell ref="O3:O4"/>
    <mergeCell ref="P3:P4"/>
    <mergeCell ref="Q3:T3"/>
    <mergeCell ref="U3:U4"/>
    <mergeCell ref="V3:V4"/>
    <mergeCell ref="W3:W4"/>
    <mergeCell ref="C4:H4"/>
    <mergeCell ref="K4:L4"/>
    <mergeCell ref="N5:N8"/>
    <mergeCell ref="B6:B9"/>
    <mergeCell ref="N9:N12"/>
    <mergeCell ref="B10:B12"/>
    <mergeCell ref="N13:N16"/>
    <mergeCell ref="F15:G15"/>
    <mergeCell ref="K15:L15"/>
    <mergeCell ref="K16:L16"/>
    <mergeCell ref="N17:N20"/>
    <mergeCell ref="C20:F20"/>
    <mergeCell ref="N37:N40"/>
    <mergeCell ref="N41:N44"/>
    <mergeCell ref="N21:N24"/>
    <mergeCell ref="C22:F22"/>
    <mergeCell ref="G22:H22"/>
    <mergeCell ref="N25:N28"/>
    <mergeCell ref="N29:N32"/>
    <mergeCell ref="N33:N36"/>
  </mergeCells>
  <conditionalFormatting sqref="C3 E3 B2:M2 A86:M1048576 A75:A85 A62:M74 M31:M33 A3:A17 M47:M48 N57:N1048576 AI9:AL1048576 AI1:AL1 A32:B32 A47:L47 AO1:XFD1048576 AL2:AL8 M3:M16 X1:X14 X16:X1048576 U2 O1:P1 O2 B15:B16 C19:L19 G22">
    <cfRule type="containsText" dxfId="1234" priority="469" operator="containsText" text="ht">
      <formula>NOT(ISERROR(SEARCH("ht",A1)))</formula>
    </cfRule>
    <cfRule type="containsText" dxfId="1233" priority="470" operator="containsText" text="mt">
      <formula>NOT(ISERROR(SEARCH("mt",A1)))</formula>
    </cfRule>
    <cfRule type="containsText" dxfId="1232" priority="471" operator="containsText" text="wt">
      <formula>NOT(ISERROR(SEARCH("wt",A1)))</formula>
    </cfRule>
  </conditionalFormatting>
  <conditionalFormatting sqref="B5 F13:J13 B13:B14">
    <cfRule type="containsText" dxfId="1231" priority="466" operator="containsText" text="ht">
      <formula>NOT(ISERROR(SEARCH("ht",B5)))</formula>
    </cfRule>
    <cfRule type="containsText" dxfId="1230" priority="467" operator="containsText" text="mt">
      <formula>NOT(ISERROR(SEARCH("mt",B5)))</formula>
    </cfRule>
    <cfRule type="containsText" dxfId="1229" priority="468" operator="containsText" text="wt">
      <formula>NOT(ISERROR(SEARCH("wt",B5)))</formula>
    </cfRule>
  </conditionalFormatting>
  <conditionalFormatting sqref="C13 E13">
    <cfRule type="containsText" dxfId="1228" priority="463" operator="containsText" text="ht">
      <formula>NOT(ISERROR(SEARCH("ht",C13)))</formula>
    </cfRule>
    <cfRule type="containsText" dxfId="1227" priority="464" operator="containsText" text="mt">
      <formula>NOT(ISERROR(SEARCH("mt",C13)))</formula>
    </cfRule>
    <cfRule type="containsText" dxfId="1226" priority="465" operator="containsText" text="wt">
      <formula>NOT(ISERROR(SEARCH("wt",C13)))</formula>
    </cfRule>
  </conditionalFormatting>
  <conditionalFormatting sqref="B3 J4">
    <cfRule type="containsText" dxfId="1225" priority="460" operator="containsText" text="ht">
      <formula>NOT(ISERROR(SEARCH("ht",B3)))</formula>
    </cfRule>
    <cfRule type="containsText" dxfId="1224" priority="461" operator="containsText" text="mt">
      <formula>NOT(ISERROR(SEARCH("mt",B3)))</formula>
    </cfRule>
    <cfRule type="containsText" dxfId="1223" priority="462" operator="containsText" text="wt">
      <formula>NOT(ISERROR(SEARCH("wt",B3)))</formula>
    </cfRule>
  </conditionalFormatting>
  <conditionalFormatting sqref="B4">
    <cfRule type="containsText" dxfId="1222" priority="457" operator="containsText" text="ht">
      <formula>NOT(ISERROR(SEARCH("ht",B4)))</formula>
    </cfRule>
    <cfRule type="containsText" dxfId="1221" priority="458" operator="containsText" text="mt">
      <formula>NOT(ISERROR(SEARCH("mt",B4)))</formula>
    </cfRule>
    <cfRule type="containsText" dxfId="1220" priority="459" operator="containsText" text="wt">
      <formula>NOT(ISERROR(SEARCH("wt",B4)))</formula>
    </cfRule>
  </conditionalFormatting>
  <conditionalFormatting sqref="K4">
    <cfRule type="cellIs" dxfId="1219" priority="443" operator="equal">
      <formula>61</formula>
    </cfRule>
    <cfRule type="cellIs" dxfId="1218" priority="444" operator="equal">
      <formula>63</formula>
    </cfRule>
    <cfRule type="cellIs" dxfId="1217" priority="445" operator="equal">
      <formula>21</formula>
    </cfRule>
    <cfRule type="cellIs" dxfId="1216" priority="446" operator="equal">
      <formula>120</formula>
    </cfRule>
    <cfRule type="cellIs" dxfId="1215" priority="447" operator="equal">
      <formula>96</formula>
    </cfRule>
    <cfRule type="cellIs" dxfId="1214" priority="448" operator="equal">
      <formula>72</formula>
    </cfRule>
    <cfRule type="cellIs" dxfId="1213" priority="449" operator="equal">
      <formula>55</formula>
    </cfRule>
    <cfRule type="cellIs" dxfId="1212" priority="450" operator="equal">
      <formula>50</formula>
    </cfRule>
    <cfRule type="cellIs" dxfId="1211" priority="451" operator="equal">
      <formula>48</formula>
    </cfRule>
    <cfRule type="cellIs" dxfId="1210" priority="452" operator="equal">
      <formula>30</formula>
    </cfRule>
    <cfRule type="cellIs" dxfId="1209" priority="453" operator="equal">
      <formula>26</formula>
    </cfRule>
    <cfRule type="cellIs" dxfId="1208" priority="454" operator="equal">
      <formula>24</formula>
    </cfRule>
    <cfRule type="cellIs" dxfId="1207" priority="455" operator="equal">
      <formula>18</formula>
    </cfRule>
    <cfRule type="cellIs" dxfId="1206" priority="456" operator="equal">
      <formula>6</formula>
    </cfRule>
  </conditionalFormatting>
  <conditionalFormatting sqref="C3 K4">
    <cfRule type="containsBlanks" dxfId="1205" priority="442">
      <formula>LEN(TRIM(C3))=0</formula>
    </cfRule>
  </conditionalFormatting>
  <conditionalFormatting sqref="A2">
    <cfRule type="containsText" dxfId="1204" priority="439" operator="containsText" text="ht">
      <formula>NOT(ISERROR(SEARCH("ht",A2)))</formula>
    </cfRule>
    <cfRule type="containsText" dxfId="1203" priority="440" operator="containsText" text="mt">
      <formula>NOT(ISERROR(SEARCH("mt",A2)))</formula>
    </cfRule>
    <cfRule type="containsText" dxfId="1202" priority="441" operator="containsText" text="wt">
      <formula>NOT(ISERROR(SEARCH("wt",A2)))</formula>
    </cfRule>
  </conditionalFormatting>
  <conditionalFormatting sqref="K13:L13">
    <cfRule type="containsText" dxfId="1201" priority="436" operator="containsText" text="ht">
      <formula>NOT(ISERROR(SEARCH("ht",K13)))</formula>
    </cfRule>
    <cfRule type="containsText" dxfId="1200" priority="437" operator="containsText" text="mt">
      <formula>NOT(ISERROR(SEARCH("mt",K13)))</formula>
    </cfRule>
    <cfRule type="containsText" dxfId="1199" priority="438" operator="containsText" text="wt">
      <formula>NOT(ISERROR(SEARCH("wt",K13)))</formula>
    </cfRule>
  </conditionalFormatting>
  <conditionalFormatting sqref="M19:M30">
    <cfRule type="containsText" dxfId="1198" priority="433" operator="containsText" text="ht">
      <formula>NOT(ISERROR(SEARCH("ht",M19)))</formula>
    </cfRule>
    <cfRule type="containsText" dxfId="1197" priority="434" operator="containsText" text="mt">
      <formula>NOT(ISERROR(SEARCH("mt",M19)))</formula>
    </cfRule>
    <cfRule type="containsText" dxfId="1196" priority="435" operator="containsText" text="wt">
      <formula>NOT(ISERROR(SEARCH("wt",M19)))</formula>
    </cfRule>
  </conditionalFormatting>
  <conditionalFormatting sqref="M35:M46">
    <cfRule type="containsText" dxfId="1195" priority="430" operator="containsText" text="ht">
      <formula>NOT(ISERROR(SEARCH("ht",M35)))</formula>
    </cfRule>
    <cfRule type="containsText" dxfId="1194" priority="431" operator="containsText" text="mt">
      <formula>NOT(ISERROR(SEARCH("mt",M35)))</formula>
    </cfRule>
    <cfRule type="containsText" dxfId="1193" priority="432" operator="containsText" text="wt">
      <formula>NOT(ISERROR(SEARCH("wt",M35)))</formula>
    </cfRule>
  </conditionalFormatting>
  <conditionalFormatting sqref="M50:M61">
    <cfRule type="containsText" dxfId="1192" priority="427" operator="containsText" text="ht">
      <formula>NOT(ISERROR(SEARCH("ht",M50)))</formula>
    </cfRule>
    <cfRule type="containsText" dxfId="1191" priority="428" operator="containsText" text="mt">
      <formula>NOT(ISERROR(SEARCH("mt",M50)))</formula>
    </cfRule>
    <cfRule type="containsText" dxfId="1190" priority="429" operator="containsText" text="wt">
      <formula>NOT(ISERROR(SEARCH("wt",M50)))</formula>
    </cfRule>
  </conditionalFormatting>
  <conditionalFormatting sqref="J3">
    <cfRule type="containsText" dxfId="1189" priority="424" operator="containsText" text="ht">
      <formula>NOT(ISERROR(SEARCH("ht",J3)))</formula>
    </cfRule>
    <cfRule type="containsText" dxfId="1188" priority="425" operator="containsText" text="mt">
      <formula>NOT(ISERROR(SEARCH("mt",J3)))</formula>
    </cfRule>
    <cfRule type="containsText" dxfId="1187" priority="426" operator="containsText" text="wt">
      <formula>NOT(ISERROR(SEARCH("wt",J3)))</formula>
    </cfRule>
  </conditionalFormatting>
  <conditionalFormatting sqref="A1">
    <cfRule type="containsText" dxfId="1186" priority="421" operator="containsText" text="ht">
      <formula>NOT(ISERROR(SEARCH("ht",A1)))</formula>
    </cfRule>
    <cfRule type="containsText" dxfId="1185" priority="422" operator="containsText" text="mt">
      <formula>NOT(ISERROR(SEARCH("mt",A1)))</formula>
    </cfRule>
    <cfRule type="containsText" dxfId="1184" priority="423" operator="containsText" text="wt">
      <formula>NOT(ISERROR(SEARCH("wt",A1)))</formula>
    </cfRule>
  </conditionalFormatting>
  <conditionalFormatting sqref="A1">
    <cfRule type="containsBlanks" dxfId="1183" priority="420">
      <formula>LEN(TRIM(A1))=0</formula>
    </cfRule>
  </conditionalFormatting>
  <conditionalFormatting sqref="M18">
    <cfRule type="containsText" dxfId="1182" priority="417" operator="containsText" text="ht">
      <formula>NOT(ISERROR(SEARCH("ht",M18)))</formula>
    </cfRule>
    <cfRule type="containsText" dxfId="1181" priority="418" operator="containsText" text="mt">
      <formula>NOT(ISERROR(SEARCH("mt",M18)))</formula>
    </cfRule>
    <cfRule type="containsText" dxfId="1180" priority="419" operator="containsText" text="wt">
      <formula>NOT(ISERROR(SEARCH("wt",M18)))</formula>
    </cfRule>
  </conditionalFormatting>
  <conditionalFormatting sqref="M34">
    <cfRule type="containsText" dxfId="1179" priority="414" operator="containsText" text="ht">
      <formula>NOT(ISERROR(SEARCH("ht",M34)))</formula>
    </cfRule>
    <cfRule type="containsText" dxfId="1178" priority="415" operator="containsText" text="mt">
      <formula>NOT(ISERROR(SEARCH("mt",M34)))</formula>
    </cfRule>
    <cfRule type="containsText" dxfId="1177" priority="416" operator="containsText" text="wt">
      <formula>NOT(ISERROR(SEARCH("wt",M34)))</formula>
    </cfRule>
  </conditionalFormatting>
  <conditionalFormatting sqref="M49">
    <cfRule type="containsText" dxfId="1176" priority="411" operator="containsText" text="ht">
      <formula>NOT(ISERROR(SEARCH("ht",M49)))</formula>
    </cfRule>
    <cfRule type="containsText" dxfId="1175" priority="412" operator="containsText" text="mt">
      <formula>NOT(ISERROR(SEARCH("mt",M49)))</formula>
    </cfRule>
    <cfRule type="containsText" dxfId="1174" priority="413" operator="containsText" text="wt">
      <formula>NOT(ISERROR(SEARCH("wt",M49)))</formula>
    </cfRule>
  </conditionalFormatting>
  <conditionalFormatting sqref="K3">
    <cfRule type="containsText" dxfId="1173" priority="408" operator="containsText" text="ht">
      <formula>NOT(ISERROR(SEARCH("ht",K3)))</formula>
    </cfRule>
    <cfRule type="containsText" dxfId="1172" priority="409" operator="containsText" text="mt">
      <formula>NOT(ISERROR(SEARCH("mt",K3)))</formula>
    </cfRule>
    <cfRule type="containsText" dxfId="1171" priority="410" operator="containsText" text="wt">
      <formula>NOT(ISERROR(SEARCH("wt",K3)))</formula>
    </cfRule>
  </conditionalFormatting>
  <conditionalFormatting sqref="K3">
    <cfRule type="containsBlanks" dxfId="1170" priority="407">
      <formula>LEN(TRIM(K3))=0</formula>
    </cfRule>
  </conditionalFormatting>
  <conditionalFormatting sqref="C10:L10">
    <cfRule type="containsText" dxfId="1169" priority="393" operator="containsText" text="ht">
      <formula>NOT(ISERROR(SEARCH("ht",C10)))</formula>
    </cfRule>
    <cfRule type="containsText" dxfId="1168" priority="394" operator="containsText" text="mt">
      <formula>NOT(ISERROR(SEARCH("mt",C10)))</formula>
    </cfRule>
    <cfRule type="containsText" dxfId="1167" priority="395" operator="containsText" text="wt">
      <formula>NOT(ISERROR(SEARCH("wt",C10)))</formula>
    </cfRule>
  </conditionalFormatting>
  <conditionalFormatting sqref="C5:L5 C7:L7 C9:L9">
    <cfRule type="containsText" dxfId="1166" priority="404" operator="containsText" text="ht">
      <formula>NOT(ISERROR(SEARCH("ht",C5)))</formula>
    </cfRule>
    <cfRule type="containsText" dxfId="1165" priority="405" operator="containsText" text="mt">
      <formula>NOT(ISERROR(SEARCH("mt",C5)))</formula>
    </cfRule>
    <cfRule type="containsText" dxfId="1164" priority="406" operator="containsText" text="wt">
      <formula>NOT(ISERROR(SEARCH("wt",C5)))</formula>
    </cfRule>
  </conditionalFormatting>
  <conditionalFormatting sqref="C6:L6">
    <cfRule type="containsText" dxfId="1163" priority="401" operator="containsText" text="ht">
      <formula>NOT(ISERROR(SEARCH("ht",C6)))</formula>
    </cfRule>
    <cfRule type="containsText" dxfId="1162" priority="402" operator="containsText" text="mt">
      <formula>NOT(ISERROR(SEARCH("mt",C6)))</formula>
    </cfRule>
    <cfRule type="containsText" dxfId="1161" priority="403" operator="containsText" text="wt">
      <formula>NOT(ISERROR(SEARCH("wt",C6)))</formula>
    </cfRule>
  </conditionalFormatting>
  <conditionalFormatting sqref="C6:L6">
    <cfRule type="cellIs" dxfId="1160" priority="400" operator="equal">
      <formula>"?"</formula>
    </cfRule>
  </conditionalFormatting>
  <conditionalFormatting sqref="C8:L8">
    <cfRule type="containsText" dxfId="1159" priority="397" operator="containsText" text="ht">
      <formula>NOT(ISERROR(SEARCH("ht",C8)))</formula>
    </cfRule>
    <cfRule type="containsText" dxfId="1158" priority="398" operator="containsText" text="mt">
      <formula>NOT(ISERROR(SEARCH("mt",C8)))</formula>
    </cfRule>
    <cfRule type="containsText" dxfId="1157" priority="399" operator="containsText" text="wt">
      <formula>NOT(ISERROR(SEARCH("wt",C8)))</formula>
    </cfRule>
  </conditionalFormatting>
  <conditionalFormatting sqref="C8:L8">
    <cfRule type="cellIs" dxfId="1156" priority="396" operator="equal">
      <formula>"?"</formula>
    </cfRule>
  </conditionalFormatting>
  <conditionalFormatting sqref="C10:L10">
    <cfRule type="cellIs" dxfId="1155" priority="392" operator="equal">
      <formula>"?"</formula>
    </cfRule>
  </conditionalFormatting>
  <conditionalFormatting sqref="N9 N1:N5 N17 N25 N33 N13 N21 N29 N41">
    <cfRule type="containsText" dxfId="1154" priority="389" operator="containsText" text="ht">
      <formula>NOT(ISERROR(SEARCH("ht",N1)))</formula>
    </cfRule>
    <cfRule type="containsText" dxfId="1153" priority="390" operator="containsText" text="mt">
      <formula>NOT(ISERROR(SEARCH("mt",N1)))</formula>
    </cfRule>
    <cfRule type="containsText" dxfId="1152" priority="391" operator="containsText" text="wt">
      <formula>NOT(ISERROR(SEARCH("wt",N1)))</formula>
    </cfRule>
  </conditionalFormatting>
  <conditionalFormatting sqref="AF3">
    <cfRule type="containsText" dxfId="1151" priority="373" operator="containsText" text="ht">
      <formula>NOT(ISERROR(SEARCH("ht",AF3)))</formula>
    </cfRule>
    <cfRule type="containsText" dxfId="1150" priority="374" operator="containsText" text="mt">
      <formula>NOT(ISERROR(SEARCH("mt",AF3)))</formula>
    </cfRule>
    <cfRule type="containsText" dxfId="1149" priority="375" operator="containsText" text="wt">
      <formula>NOT(ISERROR(SEARCH("wt",AF3)))</formula>
    </cfRule>
  </conditionalFormatting>
  <conditionalFormatting sqref="AA4">
    <cfRule type="cellIs" dxfId="1148" priority="336" operator="equal">
      <formula>61</formula>
    </cfRule>
    <cfRule type="cellIs" dxfId="1147" priority="337" operator="equal">
      <formula>63</formula>
    </cfRule>
    <cfRule type="cellIs" dxfId="1146" priority="338" operator="equal">
      <formula>21</formula>
    </cfRule>
    <cfRule type="cellIs" dxfId="1145" priority="339" operator="equal">
      <formula>120</formula>
    </cfRule>
    <cfRule type="cellIs" dxfId="1144" priority="340" operator="equal">
      <formula>96</formula>
    </cfRule>
    <cfRule type="cellIs" dxfId="1143" priority="341" operator="equal">
      <formula>72</formula>
    </cfRule>
    <cfRule type="cellIs" dxfId="1142" priority="342" operator="equal">
      <formula>55</formula>
    </cfRule>
    <cfRule type="cellIs" dxfId="1141" priority="343" operator="equal">
      <formula>50</formula>
    </cfRule>
    <cfRule type="cellIs" dxfId="1140" priority="344" operator="equal">
      <formula>48</formula>
    </cfRule>
    <cfRule type="cellIs" dxfId="1139" priority="345" operator="equal">
      <formula>30</formula>
    </cfRule>
    <cfRule type="cellIs" dxfId="1138" priority="346" operator="equal">
      <formula>26</formula>
    </cfRule>
    <cfRule type="cellIs" dxfId="1137" priority="347" operator="equal">
      <formula>24</formula>
    </cfRule>
    <cfRule type="cellIs" dxfId="1136" priority="348" operator="equal">
      <formula>18</formula>
    </cfRule>
    <cfRule type="cellIs" dxfId="1135" priority="349" operator="equal">
      <formula>6</formula>
    </cfRule>
  </conditionalFormatting>
  <conditionalFormatting sqref="Y1:AA2 Y14:AA1048576 Y9:Z13 AC9:AG1048576 AC1:AG2">
    <cfRule type="containsText" dxfId="1134" priority="386" operator="containsText" text="ht">
      <formula>NOT(ISERROR(SEARCH("ht",Y1)))</formula>
    </cfRule>
    <cfRule type="containsText" dxfId="1133" priority="387" operator="containsText" text="mt">
      <formula>NOT(ISERROR(SEARCH("mt",Y1)))</formula>
    </cfRule>
    <cfRule type="containsText" dxfId="1132" priority="388" operator="containsText" text="wt">
      <formula>NOT(ISERROR(SEARCH("wt",Y1)))</formula>
    </cfRule>
  </conditionalFormatting>
  <conditionalFormatting sqref="Y4 AC4:AG4">
    <cfRule type="containsText" dxfId="1131" priority="383" operator="containsText" text="ht">
      <formula>NOT(ISERROR(SEARCH("ht",Y4)))</formula>
    </cfRule>
    <cfRule type="containsText" dxfId="1130" priority="384" operator="containsText" text="mt">
      <formula>NOT(ISERROR(SEARCH("mt",Y4)))</formula>
    </cfRule>
    <cfRule type="containsText" dxfId="1129" priority="385" operator="containsText" text="wt">
      <formula>NOT(ISERROR(SEARCH("wt",Y4)))</formula>
    </cfRule>
  </conditionalFormatting>
  <conditionalFormatting sqref="AE3:AG3">
    <cfRule type="containsText" dxfId="1128" priority="380" operator="containsText" text="ht">
      <formula>NOT(ISERROR(SEARCH("ht",AE3)))</formula>
    </cfRule>
    <cfRule type="containsText" dxfId="1127" priority="381" operator="containsText" text="mt">
      <formula>NOT(ISERROR(SEARCH("mt",AE3)))</formula>
    </cfRule>
    <cfRule type="containsText" dxfId="1126" priority="382" operator="containsText" text="wt">
      <formula>NOT(ISERROR(SEARCH("wt",AE3)))</formula>
    </cfRule>
  </conditionalFormatting>
  <conditionalFormatting sqref="AE3:AG3">
    <cfRule type="cellIs" dxfId="1125" priority="379" operator="equal">
      <formula>"?"</formula>
    </cfRule>
  </conditionalFormatting>
  <conditionalFormatting sqref="AE3">
    <cfRule type="containsText" dxfId="1124" priority="376" operator="containsText" text="ht">
      <formula>NOT(ISERROR(SEARCH("ht",AE3)))</formula>
    </cfRule>
    <cfRule type="containsText" dxfId="1123" priority="377" operator="containsText" text="mt">
      <formula>NOT(ISERROR(SEARCH("mt",AE3)))</formula>
    </cfRule>
    <cfRule type="containsText" dxfId="1122" priority="378" operator="containsText" text="wt">
      <formula>NOT(ISERROR(SEARCH("wt",AE3)))</formula>
    </cfRule>
  </conditionalFormatting>
  <conditionalFormatting sqref="AG3">
    <cfRule type="containsText" dxfId="1121" priority="370" operator="containsText" text="ht">
      <formula>NOT(ISERROR(SEARCH("ht",AG3)))</formula>
    </cfRule>
    <cfRule type="containsText" dxfId="1120" priority="371" operator="containsText" text="mt">
      <formula>NOT(ISERROR(SEARCH("mt",AG3)))</formula>
    </cfRule>
    <cfRule type="containsText" dxfId="1119" priority="372" operator="containsText" text="wt">
      <formula>NOT(ISERROR(SEARCH("wt",AG3)))</formula>
    </cfRule>
  </conditionalFormatting>
  <conditionalFormatting sqref="AD3">
    <cfRule type="containsText" dxfId="1118" priority="367" operator="containsText" text="ht">
      <formula>NOT(ISERROR(SEARCH("ht",AD3)))</formula>
    </cfRule>
    <cfRule type="containsText" dxfId="1117" priority="368" operator="containsText" text="mt">
      <formula>NOT(ISERROR(SEARCH("mt",AD3)))</formula>
    </cfRule>
    <cfRule type="containsText" dxfId="1116" priority="369" operator="containsText" text="wt">
      <formula>NOT(ISERROR(SEARCH("wt",AD3)))</formula>
    </cfRule>
  </conditionalFormatting>
  <conditionalFormatting sqref="AD3">
    <cfRule type="cellIs" dxfId="1115" priority="366" operator="equal">
      <formula>"?"</formula>
    </cfRule>
  </conditionalFormatting>
  <conditionalFormatting sqref="Z3">
    <cfRule type="containsText" dxfId="1114" priority="363" operator="containsText" text="ht">
      <formula>NOT(ISERROR(SEARCH("ht",Z3)))</formula>
    </cfRule>
    <cfRule type="containsText" dxfId="1113" priority="364" operator="containsText" text="mt">
      <formula>NOT(ISERROR(SEARCH("mt",Z3)))</formula>
    </cfRule>
    <cfRule type="containsText" dxfId="1112" priority="365" operator="containsText" text="wt">
      <formula>NOT(ISERROR(SEARCH("wt",Z3)))</formula>
    </cfRule>
  </conditionalFormatting>
  <conditionalFormatting sqref="Z3">
    <cfRule type="cellIs" dxfId="1111" priority="362" operator="equal">
      <formula>"?"</formula>
    </cfRule>
  </conditionalFormatting>
  <conditionalFormatting sqref="AA3">
    <cfRule type="containsText" dxfId="1110" priority="359" operator="containsText" text="ht">
      <formula>NOT(ISERROR(SEARCH("ht",AA3)))</formula>
    </cfRule>
    <cfRule type="containsText" dxfId="1109" priority="360" operator="containsText" text="mt">
      <formula>NOT(ISERROR(SEARCH("mt",AA3)))</formula>
    </cfRule>
    <cfRule type="containsText" dxfId="1108" priority="361" operator="containsText" text="wt">
      <formula>NOT(ISERROR(SEARCH("wt",AA3)))</formula>
    </cfRule>
  </conditionalFormatting>
  <conditionalFormatting sqref="AA3">
    <cfRule type="cellIs" dxfId="1107" priority="358" operator="equal">
      <formula>"?"</formula>
    </cfRule>
  </conditionalFormatting>
  <conditionalFormatting sqref="AC3">
    <cfRule type="containsText" dxfId="1106" priority="355" operator="containsText" text="ht">
      <formula>NOT(ISERROR(SEARCH("ht",AC3)))</formula>
    </cfRule>
    <cfRule type="containsText" dxfId="1105" priority="356" operator="containsText" text="mt">
      <formula>NOT(ISERROR(SEARCH("mt",AC3)))</formula>
    </cfRule>
    <cfRule type="containsText" dxfId="1104" priority="357" operator="containsText" text="wt">
      <formula>NOT(ISERROR(SEARCH("wt",AC3)))</formula>
    </cfRule>
  </conditionalFormatting>
  <conditionalFormatting sqref="AC3">
    <cfRule type="cellIs" dxfId="1103" priority="354" operator="equal">
      <formula>"?"</formula>
    </cfRule>
  </conditionalFormatting>
  <conditionalFormatting sqref="Y3">
    <cfRule type="containsText" dxfId="1102" priority="351" operator="containsText" text="ht">
      <formula>NOT(ISERROR(SEARCH("ht",Y3)))</formula>
    </cfRule>
    <cfRule type="containsText" dxfId="1101" priority="352" operator="containsText" text="mt">
      <formula>NOT(ISERROR(SEARCH("mt",Y3)))</formula>
    </cfRule>
    <cfRule type="containsText" dxfId="1100" priority="353" operator="containsText" text="wt">
      <formula>NOT(ISERROR(SEARCH("wt",Y3)))</formula>
    </cfRule>
  </conditionalFormatting>
  <conditionalFormatting sqref="Y3">
    <cfRule type="cellIs" dxfId="1099" priority="350" operator="equal">
      <formula>"?"</formula>
    </cfRule>
  </conditionalFormatting>
  <conditionalFormatting sqref="AH17 AH27:AH1048576">
    <cfRule type="containsText" dxfId="1098" priority="333" operator="containsText" text="ht">
      <formula>NOT(ISERROR(SEARCH("ht",AH17)))</formula>
    </cfRule>
    <cfRule type="containsText" dxfId="1097" priority="334" operator="containsText" text="mt">
      <formula>NOT(ISERROR(SEARCH("mt",AH17)))</formula>
    </cfRule>
    <cfRule type="containsText" dxfId="1096" priority="335" operator="containsText" text="wt">
      <formula>NOT(ISERROR(SEARCH("wt",AH17)))</formula>
    </cfRule>
  </conditionalFormatting>
  <conditionalFormatting sqref="AH9:AH16">
    <cfRule type="containsText" dxfId="1095" priority="330" operator="containsText" text="ht">
      <formula>NOT(ISERROR(SEARCH("ht",AH9)))</formula>
    </cfRule>
    <cfRule type="containsText" dxfId="1094" priority="331" operator="containsText" text="mt">
      <formula>NOT(ISERROR(SEARCH("mt",AH9)))</formula>
    </cfRule>
    <cfRule type="containsText" dxfId="1093" priority="332" operator="containsText" text="wt">
      <formula>NOT(ISERROR(SEARCH("wt",AH9)))</formula>
    </cfRule>
  </conditionalFormatting>
  <conditionalFormatting sqref="AH3">
    <cfRule type="cellIs" dxfId="1092" priority="326" operator="equal">
      <formula>"?"</formula>
    </cfRule>
  </conditionalFormatting>
  <conditionalFormatting sqref="AH3">
    <cfRule type="containsText" dxfId="1091" priority="327" operator="containsText" text="ht">
      <formula>NOT(ISERROR(SEARCH("ht",AH3)))</formula>
    </cfRule>
    <cfRule type="containsText" dxfId="1090" priority="328" operator="containsText" text="mt">
      <formula>NOT(ISERROR(SEARCH("mt",AH3)))</formula>
    </cfRule>
    <cfRule type="containsText" dxfId="1089" priority="329" operator="containsText" text="wt">
      <formula>NOT(ISERROR(SEARCH("wt",AH3)))</formula>
    </cfRule>
  </conditionalFormatting>
  <conditionalFormatting sqref="AH1:AH3 AH9:AH1048576">
    <cfRule type="containsText" dxfId="1088" priority="324" operator="containsText" text="YES">
      <formula>NOT(ISERROR(SEARCH("YES",AH1)))</formula>
    </cfRule>
    <cfRule type="containsText" dxfId="1087" priority="325" operator="containsText" text="NO">
      <formula>NOT(ISERROR(SEARCH("NO",AH1)))</formula>
    </cfRule>
  </conditionalFormatting>
  <conditionalFormatting sqref="AH4">
    <cfRule type="containsText" dxfId="1086" priority="321" operator="containsText" text="ht">
      <formula>NOT(ISERROR(SEARCH("ht",AH4)))</formula>
    </cfRule>
    <cfRule type="containsText" dxfId="1085" priority="322" operator="containsText" text="mt">
      <formula>NOT(ISERROR(SEARCH("mt",AH4)))</formula>
    </cfRule>
    <cfRule type="containsText" dxfId="1084" priority="323" operator="containsText" text="wt">
      <formula>NOT(ISERROR(SEARCH("wt",AH4)))</formula>
    </cfRule>
  </conditionalFormatting>
  <conditionalFormatting sqref="AH4">
    <cfRule type="containsText" dxfId="1083" priority="319" operator="containsText" text="YES">
      <formula>NOT(ISERROR(SEARCH("YES",AH4)))</formula>
    </cfRule>
    <cfRule type="containsText" dxfId="1082" priority="320" operator="containsText" text="NO">
      <formula>NOT(ISERROR(SEARCH("NO",AH4)))</formula>
    </cfRule>
  </conditionalFormatting>
  <conditionalFormatting sqref="AH4">
    <cfRule type="containsText" dxfId="1081" priority="318" operator="containsText" text="YES?">
      <formula>NOT(ISERROR(SEARCH("YES?",AH4)))</formula>
    </cfRule>
  </conditionalFormatting>
  <conditionalFormatting sqref="Q13:T16">
    <cfRule type="containsText" dxfId="1080" priority="273" operator="containsText" text="ht">
      <formula>NOT(ISERROR(SEARCH("ht",Q13)))</formula>
    </cfRule>
    <cfRule type="containsText" dxfId="1079" priority="274" operator="containsText" text="mt">
      <formula>NOT(ISERROR(SEARCH("mt",Q13)))</formula>
    </cfRule>
    <cfRule type="containsText" dxfId="1078" priority="275" operator="containsText" text="wt">
      <formula>NOT(ISERROR(SEARCH("wt",Q13)))</formula>
    </cfRule>
  </conditionalFormatting>
  <conditionalFormatting sqref="A23:L30 A18:B22">
    <cfRule type="containsText" dxfId="1077" priority="315" operator="containsText" text="ht">
      <formula>NOT(ISERROR(SEARCH("ht",A18)))</formula>
    </cfRule>
    <cfRule type="containsText" dxfId="1076" priority="316" operator="containsText" text="mt">
      <formula>NOT(ISERROR(SEARCH("mt",A18)))</formula>
    </cfRule>
    <cfRule type="containsText" dxfId="1075" priority="317" operator="containsText" text="wt">
      <formula>NOT(ISERROR(SEARCH("wt",A18)))</formula>
    </cfRule>
  </conditionalFormatting>
  <conditionalFormatting sqref="A33:L45">
    <cfRule type="containsText" dxfId="1074" priority="312" operator="containsText" text="ht">
      <formula>NOT(ISERROR(SEARCH("ht",A33)))</formula>
    </cfRule>
    <cfRule type="containsText" dxfId="1073" priority="313" operator="containsText" text="mt">
      <formula>NOT(ISERROR(SEARCH("mt",A33)))</formula>
    </cfRule>
    <cfRule type="containsText" dxfId="1072" priority="314" operator="containsText" text="wt">
      <formula>NOT(ISERROR(SEARCH("wt",A33)))</formula>
    </cfRule>
  </conditionalFormatting>
  <conditionalFormatting sqref="A48:L60">
    <cfRule type="containsText" dxfId="1071" priority="309" operator="containsText" text="ht">
      <formula>NOT(ISERROR(SEARCH("ht",A48)))</formula>
    </cfRule>
    <cfRule type="containsText" dxfId="1070" priority="310" operator="containsText" text="mt">
      <formula>NOT(ISERROR(SEARCH("mt",A48)))</formula>
    </cfRule>
    <cfRule type="containsText" dxfId="1069" priority="311" operator="containsText" text="wt">
      <formula>NOT(ISERROR(SEARCH("wt",A48)))</formula>
    </cfRule>
  </conditionalFormatting>
  <conditionalFormatting sqref="G20:J20">
    <cfRule type="containsText" dxfId="1068" priority="306" operator="containsText" text="ht">
      <formula>NOT(ISERROR(SEARCH("ht",G20)))</formula>
    </cfRule>
    <cfRule type="containsText" dxfId="1067" priority="307" operator="containsText" text="mt">
      <formula>NOT(ISERROR(SEARCH("mt",G20)))</formula>
    </cfRule>
    <cfRule type="containsText" dxfId="1066" priority="308" operator="containsText" text="wt">
      <formula>NOT(ISERROR(SEARCH("wt",G20)))</formula>
    </cfRule>
  </conditionalFormatting>
  <conditionalFormatting sqref="K20:L20">
    <cfRule type="containsText" dxfId="1065" priority="303" operator="containsText" text="ht">
      <formula>NOT(ISERROR(SEARCH("ht",K20)))</formula>
    </cfRule>
    <cfRule type="containsText" dxfId="1064" priority="304" operator="containsText" text="mt">
      <formula>NOT(ISERROR(SEARCH("mt",K20)))</formula>
    </cfRule>
    <cfRule type="containsText" dxfId="1063" priority="305" operator="containsText" text="wt">
      <formula>NOT(ISERROR(SEARCH("wt",K20)))</formula>
    </cfRule>
  </conditionalFormatting>
  <conditionalFormatting sqref="AI2">
    <cfRule type="containsText" dxfId="1062" priority="300" operator="containsText" text="ht">
      <formula>NOT(ISERROR(SEARCH("ht",AI2)))</formula>
    </cfRule>
    <cfRule type="containsText" dxfId="1061" priority="301" operator="containsText" text="mt">
      <formula>NOT(ISERROR(SEARCH("mt",AI2)))</formula>
    </cfRule>
    <cfRule type="containsText" dxfId="1060" priority="302" operator="containsText" text="wt">
      <formula>NOT(ISERROR(SEARCH("wt",AI2)))</formula>
    </cfRule>
  </conditionalFormatting>
  <conditionalFormatting sqref="AI2">
    <cfRule type="cellIs" dxfId="1059" priority="299" operator="equal">
      <formula>"?"</formula>
    </cfRule>
  </conditionalFormatting>
  <conditionalFormatting sqref="AI3">
    <cfRule type="containsText" dxfId="1058" priority="296" operator="containsText" text="ht">
      <formula>NOT(ISERROR(SEARCH("ht",AI3)))</formula>
    </cfRule>
    <cfRule type="containsText" dxfId="1057" priority="297" operator="containsText" text="mt">
      <formula>NOT(ISERROR(SEARCH("mt",AI3)))</formula>
    </cfRule>
    <cfRule type="containsText" dxfId="1056" priority="298" operator="containsText" text="wt">
      <formula>NOT(ISERROR(SEARCH("wt",AI3)))</formula>
    </cfRule>
  </conditionalFormatting>
  <conditionalFormatting sqref="AI3">
    <cfRule type="cellIs" dxfId="1055" priority="295" operator="equal">
      <formula>"?"</formula>
    </cfRule>
  </conditionalFormatting>
  <conditionalFormatting sqref="AJ3:AK3">
    <cfRule type="containsText" dxfId="1054" priority="292" operator="containsText" text="ht">
      <formula>NOT(ISERROR(SEARCH("ht",AJ3)))</formula>
    </cfRule>
    <cfRule type="containsText" dxfId="1053" priority="293" operator="containsText" text="mt">
      <formula>NOT(ISERROR(SEARCH("mt",AJ3)))</formula>
    </cfRule>
    <cfRule type="containsText" dxfId="1052" priority="294" operator="containsText" text="wt">
      <formula>NOT(ISERROR(SEARCH("wt",AJ3)))</formula>
    </cfRule>
  </conditionalFormatting>
  <conditionalFormatting sqref="AJ3:AK3">
    <cfRule type="cellIs" dxfId="1051" priority="291" operator="equal">
      <formula>"?"</formula>
    </cfRule>
  </conditionalFormatting>
  <conditionalFormatting sqref="AJ3">
    <cfRule type="containsText" dxfId="1050" priority="288" operator="containsText" text="ht">
      <formula>NOT(ISERROR(SEARCH("ht",AJ3)))</formula>
    </cfRule>
    <cfRule type="containsText" dxfId="1049" priority="289" operator="containsText" text="mt">
      <formula>NOT(ISERROR(SEARCH("mt",AJ3)))</formula>
    </cfRule>
    <cfRule type="containsText" dxfId="1048" priority="290" operator="containsText" text="wt">
      <formula>NOT(ISERROR(SEARCH("wt",AJ3)))</formula>
    </cfRule>
  </conditionalFormatting>
  <conditionalFormatting sqref="AK3">
    <cfRule type="containsText" dxfId="1047" priority="285" operator="containsText" text="ht">
      <formula>NOT(ISERROR(SEARCH("ht",AK3)))</formula>
    </cfRule>
    <cfRule type="containsText" dxfId="1046" priority="286" operator="containsText" text="mt">
      <formula>NOT(ISERROR(SEARCH("mt",AK3)))</formula>
    </cfRule>
    <cfRule type="containsText" dxfId="1045" priority="287" operator="containsText" text="wt">
      <formula>NOT(ISERROR(SEARCH("wt",AK3)))</formula>
    </cfRule>
  </conditionalFormatting>
  <conditionalFormatting sqref="O57:T57 O59:T1048576 O58:R58">
    <cfRule type="containsText" dxfId="1044" priority="282" operator="containsText" text="ht">
      <formula>NOT(ISERROR(SEARCH("ht",O57)))</formula>
    </cfRule>
    <cfRule type="containsText" dxfId="1043" priority="283" operator="containsText" text="mt">
      <formula>NOT(ISERROR(SEARCH("mt",O57)))</formula>
    </cfRule>
    <cfRule type="containsText" dxfId="1042" priority="284" operator="containsText" text="wt">
      <formula>NOT(ISERROR(SEARCH("wt",O57)))</formula>
    </cfRule>
  </conditionalFormatting>
  <conditionalFormatting sqref="O3:Q3 R4:T4 S2:T2">
    <cfRule type="containsText" dxfId="1041" priority="279" operator="containsText" text="ht">
      <formula>NOT(ISERROR(SEARCH("ht",O2)))</formula>
    </cfRule>
    <cfRule type="containsText" dxfId="1040" priority="280" operator="containsText" text="mt">
      <formula>NOT(ISERROR(SEARCH("mt",O2)))</formula>
    </cfRule>
    <cfRule type="containsText" dxfId="1039" priority="281" operator="containsText" text="wt">
      <formula>NOT(ISERROR(SEARCH("wt",O2)))</formula>
    </cfRule>
  </conditionalFormatting>
  <conditionalFormatting sqref="O5:T12 P13:P16 O13:O36 O41:O44">
    <cfRule type="containsText" dxfId="1038" priority="276" operator="containsText" text="ht">
      <formula>NOT(ISERROR(SEARCH("ht",O5)))</formula>
    </cfRule>
    <cfRule type="containsText" dxfId="1037" priority="277" operator="containsText" text="mt">
      <formula>NOT(ISERROR(SEARCH("mt",O5)))</formula>
    </cfRule>
    <cfRule type="containsText" dxfId="1036" priority="278" operator="containsText" text="wt">
      <formula>NOT(ISERROR(SEARCH("wt",O5)))</formula>
    </cfRule>
  </conditionalFormatting>
  <conditionalFormatting sqref="U57 U59:U1048576">
    <cfRule type="containsText" dxfId="1035" priority="270" operator="containsText" text="ht">
      <formula>NOT(ISERROR(SEARCH("ht",U57)))</formula>
    </cfRule>
    <cfRule type="containsText" dxfId="1034" priority="271" operator="containsText" text="mt">
      <formula>NOT(ISERROR(SEARCH("mt",U57)))</formula>
    </cfRule>
    <cfRule type="containsText" dxfId="1033" priority="272" operator="containsText" text="wt">
      <formula>NOT(ISERROR(SEARCH("wt",U57)))</formula>
    </cfRule>
  </conditionalFormatting>
  <conditionalFormatting sqref="U5:U16">
    <cfRule type="containsText" dxfId="1032" priority="267" operator="containsText" text="ht">
      <formula>NOT(ISERROR(SEARCH("ht",U5)))</formula>
    </cfRule>
    <cfRule type="containsText" dxfId="1031" priority="268" operator="containsText" text="mt">
      <formula>NOT(ISERROR(SEARCH("mt",U5)))</formula>
    </cfRule>
    <cfRule type="containsText" dxfId="1030" priority="269" operator="containsText" text="wt">
      <formula>NOT(ISERROR(SEARCH("wt",U5)))</formula>
    </cfRule>
  </conditionalFormatting>
  <conditionalFormatting sqref="G22">
    <cfRule type="cellIs" dxfId="1029" priority="266" operator="greaterThan">
      <formula>0.03125</formula>
    </cfRule>
  </conditionalFormatting>
  <conditionalFormatting sqref="AM1 AM5:AM1048576">
    <cfRule type="containsText" dxfId="1028" priority="263" operator="containsText" text="ht">
      <formula>NOT(ISERROR(SEARCH("ht",AM1)))</formula>
    </cfRule>
    <cfRule type="containsText" dxfId="1027" priority="264" operator="containsText" text="mt">
      <formula>NOT(ISERROR(SEARCH("mt",AM1)))</formula>
    </cfRule>
    <cfRule type="containsText" dxfId="1026" priority="265" operator="containsText" text="wt">
      <formula>NOT(ISERROR(SEARCH("wt",AM1)))</formula>
    </cfRule>
  </conditionalFormatting>
  <conditionalFormatting sqref="AM1 AM5:AM1048576">
    <cfRule type="cellIs" dxfId="1025" priority="262" operator="equal">
      <formula>"?"</formula>
    </cfRule>
  </conditionalFormatting>
  <conditionalFormatting sqref="AN109:AN1048576 AN1">
    <cfRule type="containsText" dxfId="1024" priority="259" operator="containsText" text="ht">
      <formula>NOT(ISERROR(SEARCH("ht",AN1)))</formula>
    </cfRule>
    <cfRule type="containsText" dxfId="1023" priority="260" operator="containsText" text="mt">
      <formula>NOT(ISERROR(SEARCH("mt",AN1)))</formula>
    </cfRule>
    <cfRule type="containsText" dxfId="1022" priority="261" operator="containsText" text="wt">
      <formula>NOT(ISERROR(SEARCH("wt",AN1)))</formula>
    </cfRule>
  </conditionalFormatting>
  <conditionalFormatting sqref="AN109:AN1048576 AN1">
    <cfRule type="cellIs" dxfId="1021" priority="258" operator="equal">
      <formula>"?"</formula>
    </cfRule>
  </conditionalFormatting>
  <conditionalFormatting sqref="AN3">
    <cfRule type="containsText" dxfId="1020" priority="255" operator="containsText" text="ht">
      <formula>NOT(ISERROR(SEARCH("ht",AN3)))</formula>
    </cfRule>
    <cfRule type="containsText" dxfId="1019" priority="256" operator="containsText" text="mt">
      <formula>NOT(ISERROR(SEARCH("mt",AN3)))</formula>
    </cfRule>
    <cfRule type="containsText" dxfId="1018" priority="257" operator="containsText" text="wt">
      <formula>NOT(ISERROR(SEARCH("wt",AN3)))</formula>
    </cfRule>
  </conditionalFormatting>
  <conditionalFormatting sqref="AN3">
    <cfRule type="cellIs" dxfId="1017" priority="254" operator="equal">
      <formula>"?"</formula>
    </cfRule>
  </conditionalFormatting>
  <conditionalFormatting sqref="AB3">
    <cfRule type="cellIs" dxfId="1016" priority="250" operator="equal">
      <formula>"?"</formula>
    </cfRule>
  </conditionalFormatting>
  <conditionalFormatting sqref="AB4">
    <cfRule type="cellIs" dxfId="1015" priority="236" operator="equal">
      <formula>61</formula>
    </cfRule>
    <cfRule type="cellIs" dxfId="1014" priority="237" operator="equal">
      <formula>63</formula>
    </cfRule>
    <cfRule type="cellIs" dxfId="1013" priority="238" operator="equal">
      <formula>21</formula>
    </cfRule>
    <cfRule type="cellIs" dxfId="1012" priority="239" operator="equal">
      <formula>120</formula>
    </cfRule>
    <cfRule type="cellIs" dxfId="1011" priority="240" operator="equal">
      <formula>96</formula>
    </cfRule>
    <cfRule type="cellIs" dxfId="1010" priority="241" operator="equal">
      <formula>72</formula>
    </cfRule>
    <cfRule type="cellIs" dxfId="1009" priority="242" operator="equal">
      <formula>55</formula>
    </cfRule>
    <cfRule type="cellIs" dxfId="1008" priority="243" operator="equal">
      <formula>50</formula>
    </cfRule>
    <cfRule type="cellIs" dxfId="1007" priority="244" operator="equal">
      <formula>48</formula>
    </cfRule>
    <cfRule type="cellIs" dxfId="1006" priority="245" operator="equal">
      <formula>30</formula>
    </cfRule>
    <cfRule type="cellIs" dxfId="1005" priority="246" operator="equal">
      <formula>26</formula>
    </cfRule>
    <cfRule type="cellIs" dxfId="1004" priority="247" operator="equal">
      <formula>24</formula>
    </cfRule>
    <cfRule type="cellIs" dxfId="1003" priority="248" operator="equal">
      <formula>18</formula>
    </cfRule>
    <cfRule type="cellIs" dxfId="1002" priority="249" operator="equal">
      <formula>6</formula>
    </cfRule>
  </conditionalFormatting>
  <conditionalFormatting sqref="AN5:AN12">
    <cfRule type="containsText" dxfId="1001" priority="233" operator="containsText" text="ht">
      <formula>NOT(ISERROR(SEARCH("ht",AN5)))</formula>
    </cfRule>
    <cfRule type="containsText" dxfId="1000" priority="234" operator="containsText" text="mt">
      <formula>NOT(ISERROR(SEARCH("mt",AN5)))</formula>
    </cfRule>
    <cfRule type="containsText" dxfId="999" priority="235" operator="containsText" text="wt">
      <formula>NOT(ISERROR(SEARCH("wt",AN5)))</formula>
    </cfRule>
  </conditionalFormatting>
  <conditionalFormatting sqref="AN5:AN12">
    <cfRule type="cellIs" dxfId="998" priority="232" operator="equal">
      <formula>"?"</formula>
    </cfRule>
  </conditionalFormatting>
  <conditionalFormatting sqref="AN13:AN34">
    <cfRule type="containsText" dxfId="997" priority="229" operator="containsText" text="ht">
      <formula>NOT(ISERROR(SEARCH("ht",AN13)))</formula>
    </cfRule>
    <cfRule type="containsText" dxfId="996" priority="230" operator="containsText" text="mt">
      <formula>NOT(ISERROR(SEARCH("mt",AN13)))</formula>
    </cfRule>
    <cfRule type="containsText" dxfId="995" priority="231" operator="containsText" text="wt">
      <formula>NOT(ISERROR(SEARCH("wt",AN13)))</formula>
    </cfRule>
  </conditionalFormatting>
  <conditionalFormatting sqref="AN13:AN34">
    <cfRule type="cellIs" dxfId="994" priority="228" operator="equal">
      <formula>"?"</formula>
    </cfRule>
  </conditionalFormatting>
  <conditionalFormatting sqref="AI4:AK4">
    <cfRule type="containsText" dxfId="993" priority="225" operator="containsText" text="ht">
      <formula>NOT(ISERROR(SEARCH("ht",AI4)))</formula>
    </cfRule>
    <cfRule type="containsText" dxfId="992" priority="226" operator="containsText" text="mt">
      <formula>NOT(ISERROR(SEARCH("mt",AI4)))</formula>
    </cfRule>
    <cfRule type="containsText" dxfId="991" priority="227" operator="containsText" text="wt">
      <formula>NOT(ISERROR(SEARCH("wt",AI4)))</formula>
    </cfRule>
  </conditionalFormatting>
  <conditionalFormatting sqref="T21:T24">
    <cfRule type="containsText" dxfId="990" priority="219" operator="containsText" text="ht">
      <formula>NOT(ISERROR(SEARCH("ht",T21)))</formula>
    </cfRule>
    <cfRule type="containsText" dxfId="989" priority="220" operator="containsText" text="mt">
      <formula>NOT(ISERROR(SEARCH("mt",T21)))</formula>
    </cfRule>
    <cfRule type="containsText" dxfId="988" priority="221" operator="containsText" text="wt">
      <formula>NOT(ISERROR(SEARCH("wt",T21)))</formula>
    </cfRule>
  </conditionalFormatting>
  <conditionalFormatting sqref="P17:T20 P21:P24">
    <cfRule type="containsText" dxfId="987" priority="222" operator="containsText" text="ht">
      <formula>NOT(ISERROR(SEARCH("ht",P17)))</formula>
    </cfRule>
    <cfRule type="containsText" dxfId="986" priority="223" operator="containsText" text="mt">
      <formula>NOT(ISERROR(SEARCH("mt",P17)))</formula>
    </cfRule>
    <cfRule type="containsText" dxfId="985" priority="224" operator="containsText" text="wt">
      <formula>NOT(ISERROR(SEARCH("wt",P17)))</formula>
    </cfRule>
  </conditionalFormatting>
  <conditionalFormatting sqref="U17:U24">
    <cfRule type="containsText" dxfId="984" priority="216" operator="containsText" text="ht">
      <formula>NOT(ISERROR(SEARCH("ht",U17)))</formula>
    </cfRule>
    <cfRule type="containsText" dxfId="983" priority="217" operator="containsText" text="mt">
      <formula>NOT(ISERROR(SEARCH("mt",U17)))</formula>
    </cfRule>
    <cfRule type="containsText" dxfId="982" priority="218" operator="containsText" text="wt">
      <formula>NOT(ISERROR(SEARCH("wt",U17)))</formula>
    </cfRule>
  </conditionalFormatting>
  <conditionalFormatting sqref="T29:T32">
    <cfRule type="containsText" dxfId="981" priority="210" operator="containsText" text="ht">
      <formula>NOT(ISERROR(SEARCH("ht",T29)))</formula>
    </cfRule>
    <cfRule type="containsText" dxfId="980" priority="211" operator="containsText" text="mt">
      <formula>NOT(ISERROR(SEARCH("mt",T29)))</formula>
    </cfRule>
    <cfRule type="containsText" dxfId="979" priority="212" operator="containsText" text="wt">
      <formula>NOT(ISERROR(SEARCH("wt",T29)))</formula>
    </cfRule>
  </conditionalFormatting>
  <conditionalFormatting sqref="P25:P32 T25:T28">
    <cfRule type="containsText" dxfId="978" priority="213" operator="containsText" text="ht">
      <formula>NOT(ISERROR(SEARCH("ht",P25)))</formula>
    </cfRule>
    <cfRule type="containsText" dxfId="977" priority="214" operator="containsText" text="mt">
      <formula>NOT(ISERROR(SEARCH("mt",P25)))</formula>
    </cfRule>
    <cfRule type="containsText" dxfId="976" priority="215" operator="containsText" text="wt">
      <formula>NOT(ISERROR(SEARCH("wt",P25)))</formula>
    </cfRule>
  </conditionalFormatting>
  <conditionalFormatting sqref="U25:U32">
    <cfRule type="containsText" dxfId="975" priority="207" operator="containsText" text="ht">
      <formula>NOT(ISERROR(SEARCH("ht",U25)))</formula>
    </cfRule>
    <cfRule type="containsText" dxfId="974" priority="208" operator="containsText" text="mt">
      <formula>NOT(ISERROR(SEARCH("mt",U25)))</formula>
    </cfRule>
    <cfRule type="containsText" dxfId="973" priority="209" operator="containsText" text="wt">
      <formula>NOT(ISERROR(SEARCH("wt",U25)))</formula>
    </cfRule>
  </conditionalFormatting>
  <conditionalFormatting sqref="P33:T36 P41:T44">
    <cfRule type="containsText" dxfId="972" priority="204" operator="containsText" text="ht">
      <formula>NOT(ISERROR(SEARCH("ht",P33)))</formula>
    </cfRule>
    <cfRule type="containsText" dxfId="971" priority="205" operator="containsText" text="mt">
      <formula>NOT(ISERROR(SEARCH("mt",P33)))</formula>
    </cfRule>
    <cfRule type="containsText" dxfId="970" priority="206" operator="containsText" text="wt">
      <formula>NOT(ISERROR(SEARCH("wt",P33)))</formula>
    </cfRule>
  </conditionalFormatting>
  <conditionalFormatting sqref="U33:U36 U41:U44">
    <cfRule type="containsText" dxfId="969" priority="201" operator="containsText" text="ht">
      <formula>NOT(ISERROR(SEARCH("ht",U33)))</formula>
    </cfRule>
    <cfRule type="containsText" dxfId="968" priority="202" operator="containsText" text="mt">
      <formula>NOT(ISERROR(SEARCH("mt",U33)))</formula>
    </cfRule>
    <cfRule type="containsText" dxfId="967" priority="203" operator="containsText" text="wt">
      <formula>NOT(ISERROR(SEARCH("wt",U33)))</formula>
    </cfRule>
  </conditionalFormatting>
  <conditionalFormatting sqref="AI8:AK8">
    <cfRule type="containsText" dxfId="966" priority="198" operator="containsText" text="ht">
      <formula>NOT(ISERROR(SEARCH("ht",AI8)))</formula>
    </cfRule>
    <cfRule type="containsText" dxfId="965" priority="199" operator="containsText" text="mt">
      <formula>NOT(ISERROR(SEARCH("mt",AI8)))</formula>
    </cfRule>
    <cfRule type="containsText" dxfId="964" priority="200" operator="containsText" text="wt">
      <formula>NOT(ISERROR(SEARCH("wt",AI8)))</formula>
    </cfRule>
  </conditionalFormatting>
  <conditionalFormatting sqref="AA7">
    <cfRule type="cellIs" dxfId="963" priority="178" operator="equal">
      <formula>61</formula>
    </cfRule>
    <cfRule type="cellIs" dxfId="962" priority="179" operator="equal">
      <formula>63</formula>
    </cfRule>
    <cfRule type="cellIs" dxfId="961" priority="180" operator="equal">
      <formula>21</formula>
    </cfRule>
    <cfRule type="cellIs" dxfId="960" priority="181" operator="equal">
      <formula>120</formula>
    </cfRule>
    <cfRule type="cellIs" dxfId="959" priority="182" operator="equal">
      <formula>96</formula>
    </cfRule>
    <cfRule type="cellIs" dxfId="958" priority="183" operator="equal">
      <formula>72</formula>
    </cfRule>
    <cfRule type="cellIs" dxfId="957" priority="184" operator="equal">
      <formula>55</formula>
    </cfRule>
    <cfRule type="cellIs" dxfId="956" priority="185" operator="equal">
      <formula>50</formula>
    </cfRule>
    <cfRule type="cellIs" dxfId="955" priority="186" operator="equal">
      <formula>48</formula>
    </cfRule>
    <cfRule type="cellIs" dxfId="954" priority="187" operator="equal">
      <formula>30</formula>
    </cfRule>
    <cfRule type="cellIs" dxfId="953" priority="188" operator="equal">
      <formula>26</formula>
    </cfRule>
    <cfRule type="cellIs" dxfId="952" priority="189" operator="equal">
      <formula>24</formula>
    </cfRule>
    <cfRule type="cellIs" dxfId="951" priority="190" operator="equal">
      <formula>18</formula>
    </cfRule>
    <cfRule type="cellIs" dxfId="950" priority="191" operator="equal">
      <formula>6</formula>
    </cfRule>
  </conditionalFormatting>
  <conditionalFormatting sqref="AA6">
    <cfRule type="cellIs" dxfId="949" priority="164" operator="equal">
      <formula>61</formula>
    </cfRule>
    <cfRule type="cellIs" dxfId="948" priority="165" operator="equal">
      <formula>63</formula>
    </cfRule>
    <cfRule type="cellIs" dxfId="947" priority="166" operator="equal">
      <formula>21</formula>
    </cfRule>
    <cfRule type="cellIs" dxfId="946" priority="167" operator="equal">
      <formula>120</formula>
    </cfRule>
    <cfRule type="cellIs" dxfId="945" priority="168" operator="equal">
      <formula>96</formula>
    </cfRule>
    <cfRule type="cellIs" dxfId="944" priority="169" operator="equal">
      <formula>72</formula>
    </cfRule>
    <cfRule type="cellIs" dxfId="943" priority="170" operator="equal">
      <formula>55</formula>
    </cfRule>
    <cfRule type="cellIs" dxfId="942" priority="171" operator="equal">
      <formula>50</formula>
    </cfRule>
    <cfRule type="cellIs" dxfId="941" priority="172" operator="equal">
      <formula>48</formula>
    </cfRule>
    <cfRule type="cellIs" dxfId="940" priority="173" operator="equal">
      <formula>30</formula>
    </cfRule>
    <cfRule type="cellIs" dxfId="939" priority="174" operator="equal">
      <formula>26</formula>
    </cfRule>
    <cfRule type="cellIs" dxfId="938" priority="175" operator="equal">
      <formula>24</formula>
    </cfRule>
    <cfRule type="cellIs" dxfId="937" priority="176" operator="equal">
      <formula>18</formula>
    </cfRule>
    <cfRule type="cellIs" dxfId="936" priority="177" operator="equal">
      <formula>6</formula>
    </cfRule>
  </conditionalFormatting>
  <conditionalFormatting sqref="Z6">
    <cfRule type="containsText" dxfId="935" priority="160" operator="containsText" text="241/+ (F2s)">
      <formula>NOT(ISERROR(SEARCH("241/+ (F2s)",Z6)))</formula>
    </cfRule>
    <cfRule type="containsText" dxfId="934" priority="161" operator="containsText" text="187/+ (F2s)">
      <formula>NOT(ISERROR(SEARCH("187/+ (F2s)",Z6)))</formula>
    </cfRule>
    <cfRule type="containsText" dxfId="933" priority="162" operator="containsText" text="236/+ (F1s)">
      <formula>NOT(ISERROR(SEARCH("236/+ (F1s)",Z6)))</formula>
    </cfRule>
    <cfRule type="containsText" dxfId="932" priority="163" operator="containsText" text="241/+ (F1s)">
      <formula>NOT(ISERROR(SEARCH("241/+ (F1s)",Z6)))</formula>
    </cfRule>
  </conditionalFormatting>
  <conditionalFormatting sqref="Z6:Z7">
    <cfRule type="containsText" dxfId="931" priority="159" operator="containsText" text="∆241/∆241">
      <formula>NOT(ISERROR(SEARCH("∆241/∆241",Z6)))</formula>
    </cfRule>
  </conditionalFormatting>
  <conditionalFormatting sqref="Z6:Z7">
    <cfRule type="containsText" dxfId="930" priority="157" operator="containsText" text="prom+/+ (F3s)">
      <formula>NOT(ISERROR(SEARCH("prom+/+ (F3s)",Z6)))</formula>
    </cfRule>
    <cfRule type="containsText" dxfId="929" priority="158" operator="containsText" text="241/+ (F3s)">
      <formula>NOT(ISERROR(SEARCH("241/+ (F3s)",Z6)))</formula>
    </cfRule>
  </conditionalFormatting>
  <conditionalFormatting sqref="Z7">
    <cfRule type="containsText" dxfId="928" priority="153" operator="containsText" text="241/+ (F2s)">
      <formula>NOT(ISERROR(SEARCH("241/+ (F2s)",Z7)))</formula>
    </cfRule>
    <cfRule type="containsText" dxfId="927" priority="154" operator="containsText" text="187/+ (F2s)">
      <formula>NOT(ISERROR(SEARCH("187/+ (F2s)",Z7)))</formula>
    </cfRule>
    <cfRule type="containsText" dxfId="926" priority="155" operator="containsText" text="236/+ (F1s)">
      <formula>NOT(ISERROR(SEARCH("236/+ (F1s)",Z7)))</formula>
    </cfRule>
    <cfRule type="containsText" dxfId="925" priority="156" operator="containsText" text="241/+ (F1s)">
      <formula>NOT(ISERROR(SEARCH("241/+ (F1s)",Z7)))</formula>
    </cfRule>
  </conditionalFormatting>
  <conditionalFormatting sqref="Y8:AA8 AC8:AG8">
    <cfRule type="containsText" dxfId="924" priority="195" operator="containsText" text="ht">
      <formula>NOT(ISERROR(SEARCH("ht",Y8)))</formula>
    </cfRule>
    <cfRule type="containsText" dxfId="923" priority="196" operator="containsText" text="mt">
      <formula>NOT(ISERROR(SEARCH("mt",Y8)))</formula>
    </cfRule>
    <cfRule type="containsText" dxfId="922" priority="197" operator="containsText" text="wt">
      <formula>NOT(ISERROR(SEARCH("wt",Y8)))</formula>
    </cfRule>
  </conditionalFormatting>
  <conditionalFormatting sqref="AC6:AG7 Y6:Y7">
    <cfRule type="containsText" dxfId="921" priority="192" operator="containsText" text="ht">
      <formula>NOT(ISERROR(SEARCH("ht",Y6)))</formula>
    </cfRule>
    <cfRule type="containsText" dxfId="920" priority="193" operator="containsText" text="mt">
      <formula>NOT(ISERROR(SEARCH("mt",Y6)))</formula>
    </cfRule>
    <cfRule type="containsText" dxfId="919" priority="194" operator="containsText" text="wt">
      <formula>NOT(ISERROR(SEARCH("wt",Y6)))</formula>
    </cfRule>
  </conditionalFormatting>
  <conditionalFormatting sqref="AH8">
    <cfRule type="containsText" dxfId="918" priority="150" operator="containsText" text="ht">
      <formula>NOT(ISERROR(SEARCH("ht",AH8)))</formula>
    </cfRule>
    <cfRule type="containsText" dxfId="917" priority="151" operator="containsText" text="mt">
      <formula>NOT(ISERROR(SEARCH("mt",AH8)))</formula>
    </cfRule>
    <cfRule type="containsText" dxfId="916" priority="152" operator="containsText" text="wt">
      <formula>NOT(ISERROR(SEARCH("wt",AH8)))</formula>
    </cfRule>
  </conditionalFormatting>
  <conditionalFormatting sqref="AH8">
    <cfRule type="containsText" dxfId="915" priority="148" operator="containsText" text="YES">
      <formula>NOT(ISERROR(SEARCH("YES",AH8)))</formula>
    </cfRule>
    <cfRule type="containsText" dxfId="914" priority="149" operator="containsText" text="NO">
      <formula>NOT(ISERROR(SEARCH("NO",AH8)))</formula>
    </cfRule>
  </conditionalFormatting>
  <conditionalFormatting sqref="AH6:AH7">
    <cfRule type="containsText" dxfId="913" priority="145" operator="containsText" text="ht">
      <formula>NOT(ISERROR(SEARCH("ht",AH6)))</formula>
    </cfRule>
    <cfRule type="containsText" dxfId="912" priority="146" operator="containsText" text="mt">
      <formula>NOT(ISERROR(SEARCH("mt",AH6)))</formula>
    </cfRule>
    <cfRule type="containsText" dxfId="911" priority="147" operator="containsText" text="wt">
      <formula>NOT(ISERROR(SEARCH("wt",AH6)))</formula>
    </cfRule>
  </conditionalFormatting>
  <conditionalFormatting sqref="AH6:AH7">
    <cfRule type="containsText" dxfId="910" priority="143" operator="containsText" text="YES">
      <formula>NOT(ISERROR(SEARCH("YES",AH6)))</formula>
    </cfRule>
    <cfRule type="containsText" dxfId="909" priority="144" operator="containsText" text="NO">
      <formula>NOT(ISERROR(SEARCH("NO",AH6)))</formula>
    </cfRule>
  </conditionalFormatting>
  <conditionalFormatting sqref="AH6:AH7">
    <cfRule type="containsText" dxfId="908" priority="142" operator="containsText" text="YES?">
      <formula>NOT(ISERROR(SEARCH("YES?",AH6)))</formula>
    </cfRule>
  </conditionalFormatting>
  <conditionalFormatting sqref="AI6:AK7">
    <cfRule type="containsText" dxfId="907" priority="139" operator="containsText" text="ht">
      <formula>NOT(ISERROR(SEARCH("ht",AI6)))</formula>
    </cfRule>
    <cfRule type="containsText" dxfId="906" priority="140" operator="containsText" text="mt">
      <formula>NOT(ISERROR(SEARCH("mt",AI6)))</formula>
    </cfRule>
    <cfRule type="containsText" dxfId="905" priority="141" operator="containsText" text="wt">
      <formula>NOT(ISERROR(SEARCH("wt",AI6)))</formula>
    </cfRule>
  </conditionalFormatting>
  <conditionalFormatting sqref="AB7">
    <cfRule type="cellIs" dxfId="904" priority="125" operator="equal">
      <formula>61</formula>
    </cfRule>
    <cfRule type="cellIs" dxfId="903" priority="126" operator="equal">
      <formula>63</formula>
    </cfRule>
    <cfRule type="cellIs" dxfId="902" priority="127" operator="equal">
      <formula>21</formula>
    </cfRule>
    <cfRule type="cellIs" dxfId="901" priority="128" operator="equal">
      <formula>120</formula>
    </cfRule>
    <cfRule type="cellIs" dxfId="900" priority="129" operator="equal">
      <formula>96</formula>
    </cfRule>
    <cfRule type="cellIs" dxfId="899" priority="130" operator="equal">
      <formula>72</formula>
    </cfRule>
    <cfRule type="cellIs" dxfId="898" priority="131" operator="equal">
      <formula>55</formula>
    </cfRule>
    <cfRule type="cellIs" dxfId="897" priority="132" operator="equal">
      <formula>50</formula>
    </cfRule>
    <cfRule type="cellIs" dxfId="896" priority="133" operator="equal">
      <formula>48</formula>
    </cfRule>
    <cfRule type="cellIs" dxfId="895" priority="134" operator="equal">
      <formula>30</formula>
    </cfRule>
    <cfRule type="cellIs" dxfId="894" priority="135" operator="equal">
      <formula>26</formula>
    </cfRule>
    <cfRule type="cellIs" dxfId="893" priority="136" operator="equal">
      <formula>24</formula>
    </cfRule>
    <cfRule type="cellIs" dxfId="892" priority="137" operator="equal">
      <formula>18</formula>
    </cfRule>
    <cfRule type="cellIs" dxfId="891" priority="138" operator="equal">
      <formula>6</formula>
    </cfRule>
  </conditionalFormatting>
  <conditionalFormatting sqref="AB6">
    <cfRule type="cellIs" dxfId="890" priority="111" operator="equal">
      <formula>61</formula>
    </cfRule>
    <cfRule type="cellIs" dxfId="889" priority="112" operator="equal">
      <formula>63</formula>
    </cfRule>
    <cfRule type="cellIs" dxfId="888" priority="113" operator="equal">
      <formula>21</formula>
    </cfRule>
    <cfRule type="cellIs" dxfId="887" priority="114" operator="equal">
      <formula>120</formula>
    </cfRule>
    <cfRule type="cellIs" dxfId="886" priority="115" operator="equal">
      <formula>96</formula>
    </cfRule>
    <cfRule type="cellIs" dxfId="885" priority="116" operator="equal">
      <formula>72</formula>
    </cfRule>
    <cfRule type="cellIs" dxfId="884" priority="117" operator="equal">
      <formula>55</formula>
    </cfRule>
    <cfRule type="cellIs" dxfId="883" priority="118" operator="equal">
      <formula>50</formula>
    </cfRule>
    <cfRule type="cellIs" dxfId="882" priority="119" operator="equal">
      <formula>48</formula>
    </cfRule>
    <cfRule type="cellIs" dxfId="881" priority="120" operator="equal">
      <formula>30</formula>
    </cfRule>
    <cfRule type="cellIs" dxfId="880" priority="121" operator="equal">
      <formula>26</formula>
    </cfRule>
    <cfRule type="cellIs" dxfId="879" priority="122" operator="equal">
      <formula>24</formula>
    </cfRule>
    <cfRule type="cellIs" dxfId="878" priority="123" operator="equal">
      <formula>18</formula>
    </cfRule>
    <cfRule type="cellIs" dxfId="877" priority="124" operator="equal">
      <formula>6</formula>
    </cfRule>
  </conditionalFormatting>
  <conditionalFormatting sqref="AA5">
    <cfRule type="cellIs" dxfId="876" priority="94" operator="equal">
      <formula>61</formula>
    </cfRule>
    <cfRule type="cellIs" dxfId="875" priority="95" operator="equal">
      <formula>63</formula>
    </cfRule>
    <cfRule type="cellIs" dxfId="874" priority="96" operator="equal">
      <formula>21</formula>
    </cfRule>
    <cfRule type="cellIs" dxfId="873" priority="97" operator="equal">
      <formula>120</formula>
    </cfRule>
    <cfRule type="cellIs" dxfId="872" priority="98" operator="equal">
      <formula>96</formula>
    </cfRule>
    <cfRule type="cellIs" dxfId="871" priority="99" operator="equal">
      <formula>72</formula>
    </cfRule>
    <cfRule type="cellIs" dxfId="870" priority="100" operator="equal">
      <formula>55</formula>
    </cfRule>
    <cfRule type="cellIs" dxfId="869" priority="101" operator="equal">
      <formula>50</formula>
    </cfRule>
    <cfRule type="cellIs" dxfId="868" priority="102" operator="equal">
      <formula>48</formula>
    </cfRule>
    <cfRule type="cellIs" dxfId="867" priority="103" operator="equal">
      <formula>30</formula>
    </cfRule>
    <cfRule type="cellIs" dxfId="866" priority="104" operator="equal">
      <formula>26</formula>
    </cfRule>
    <cfRule type="cellIs" dxfId="865" priority="105" operator="equal">
      <formula>24</formula>
    </cfRule>
    <cfRule type="cellIs" dxfId="864" priority="106" operator="equal">
      <formula>18</formula>
    </cfRule>
    <cfRule type="cellIs" dxfId="863" priority="107" operator="equal">
      <formula>6</formula>
    </cfRule>
  </conditionalFormatting>
  <conditionalFormatting sqref="Y5 AC5:AG5">
    <cfRule type="containsText" dxfId="862" priority="108" operator="containsText" text="ht">
      <formula>NOT(ISERROR(SEARCH("ht",Y5)))</formula>
    </cfRule>
    <cfRule type="containsText" dxfId="861" priority="109" operator="containsText" text="mt">
      <formula>NOT(ISERROR(SEARCH("mt",Y5)))</formula>
    </cfRule>
    <cfRule type="containsText" dxfId="860" priority="110" operator="containsText" text="wt">
      <formula>NOT(ISERROR(SEARCH("wt",Y5)))</formula>
    </cfRule>
  </conditionalFormatting>
  <conditionalFormatting sqref="AH5">
    <cfRule type="containsText" dxfId="859" priority="91" operator="containsText" text="ht">
      <formula>NOT(ISERROR(SEARCH("ht",AH5)))</formula>
    </cfRule>
    <cfRule type="containsText" dxfId="858" priority="92" operator="containsText" text="mt">
      <formula>NOT(ISERROR(SEARCH("mt",AH5)))</formula>
    </cfRule>
    <cfRule type="containsText" dxfId="857" priority="93" operator="containsText" text="wt">
      <formula>NOT(ISERROR(SEARCH("wt",AH5)))</formula>
    </cfRule>
  </conditionalFormatting>
  <conditionalFormatting sqref="AH5">
    <cfRule type="containsText" dxfId="856" priority="89" operator="containsText" text="YES">
      <formula>NOT(ISERROR(SEARCH("YES",AH5)))</formula>
    </cfRule>
    <cfRule type="containsText" dxfId="855" priority="90" operator="containsText" text="NO">
      <formula>NOT(ISERROR(SEARCH("NO",AH5)))</formula>
    </cfRule>
  </conditionalFormatting>
  <conditionalFormatting sqref="AH5">
    <cfRule type="containsText" dxfId="854" priority="88" operator="containsText" text="YES?">
      <formula>NOT(ISERROR(SEARCH("YES?",AH5)))</formula>
    </cfRule>
  </conditionalFormatting>
  <conditionalFormatting sqref="AI5:AK5">
    <cfRule type="containsText" dxfId="853" priority="85" operator="containsText" text="ht">
      <formula>NOT(ISERROR(SEARCH("ht",AI5)))</formula>
    </cfRule>
    <cfRule type="containsText" dxfId="852" priority="86" operator="containsText" text="mt">
      <formula>NOT(ISERROR(SEARCH("mt",AI5)))</formula>
    </cfRule>
    <cfRule type="containsText" dxfId="851" priority="87" operator="containsText" text="wt">
      <formula>NOT(ISERROR(SEARCH("wt",AI5)))</formula>
    </cfRule>
  </conditionalFormatting>
  <conditionalFormatting sqref="AB5">
    <cfRule type="cellIs" dxfId="850" priority="71" operator="equal">
      <formula>61</formula>
    </cfRule>
    <cfRule type="cellIs" dxfId="849" priority="72" operator="equal">
      <formula>63</formula>
    </cfRule>
    <cfRule type="cellIs" dxfId="848" priority="73" operator="equal">
      <formula>21</formula>
    </cfRule>
    <cfRule type="cellIs" dxfId="847" priority="74" operator="equal">
      <formula>120</formula>
    </cfRule>
    <cfRule type="cellIs" dxfId="846" priority="75" operator="equal">
      <formula>96</formula>
    </cfRule>
    <cfRule type="cellIs" dxfId="845" priority="76" operator="equal">
      <formula>72</formula>
    </cfRule>
    <cfRule type="cellIs" dxfId="844" priority="77" operator="equal">
      <formula>55</formula>
    </cfRule>
    <cfRule type="cellIs" dxfId="843" priority="78" operator="equal">
      <formula>50</formula>
    </cfRule>
    <cfRule type="cellIs" dxfId="842" priority="79" operator="equal">
      <formula>48</formula>
    </cfRule>
    <cfRule type="cellIs" dxfId="841" priority="80" operator="equal">
      <formula>30</formula>
    </cfRule>
    <cfRule type="cellIs" dxfId="840" priority="81" operator="equal">
      <formula>26</formula>
    </cfRule>
    <cfRule type="cellIs" dxfId="839" priority="82" operator="equal">
      <formula>24</formula>
    </cfRule>
    <cfRule type="cellIs" dxfId="838" priority="83" operator="equal">
      <formula>18</formula>
    </cfRule>
    <cfRule type="cellIs" dxfId="837" priority="84" operator="equal">
      <formula>6</formula>
    </cfRule>
  </conditionalFormatting>
  <conditionalFormatting sqref="Q25:S28">
    <cfRule type="containsText" dxfId="836" priority="68" operator="containsText" text="ht">
      <formula>NOT(ISERROR(SEARCH("ht",Q25)))</formula>
    </cfRule>
    <cfRule type="containsText" dxfId="835" priority="69" operator="containsText" text="mt">
      <formula>NOT(ISERROR(SEARCH("mt",Q25)))</formula>
    </cfRule>
    <cfRule type="containsText" dxfId="834" priority="70" operator="containsText" text="wt">
      <formula>NOT(ISERROR(SEARCH("wt",Q25)))</formula>
    </cfRule>
  </conditionalFormatting>
  <conditionalFormatting sqref="Q21:S24">
    <cfRule type="containsText" dxfId="833" priority="65" operator="containsText" text="ht">
      <formula>NOT(ISERROR(SEARCH("ht",Q21)))</formula>
    </cfRule>
    <cfRule type="containsText" dxfId="832" priority="66" operator="containsText" text="mt">
      <formula>NOT(ISERROR(SEARCH("mt",Q21)))</formula>
    </cfRule>
    <cfRule type="containsText" dxfId="831" priority="67" operator="containsText" text="wt">
      <formula>NOT(ISERROR(SEARCH("wt",Q21)))</formula>
    </cfRule>
  </conditionalFormatting>
  <conditionalFormatting sqref="Q29:S32">
    <cfRule type="containsText" dxfId="830" priority="62" operator="containsText" text="ht">
      <formula>NOT(ISERROR(SEARCH("ht",Q29)))</formula>
    </cfRule>
    <cfRule type="containsText" dxfId="829" priority="63" operator="containsText" text="mt">
      <formula>NOT(ISERROR(SEARCH("mt",Q29)))</formula>
    </cfRule>
    <cfRule type="containsText" dxfId="828" priority="64" operator="containsText" text="wt">
      <formula>NOT(ISERROR(SEARCH("wt",Q29)))</formula>
    </cfRule>
  </conditionalFormatting>
  <conditionalFormatting sqref="C17">
    <cfRule type="containsText" dxfId="827" priority="56" operator="containsText" text="ht">
      <formula>NOT(ISERROR(SEARCH("ht",C17)))</formula>
    </cfRule>
    <cfRule type="containsText" dxfId="826" priority="57" operator="containsText" text="mt">
      <formula>NOT(ISERROR(SEARCH("mt",C17)))</formula>
    </cfRule>
    <cfRule type="containsText" dxfId="825" priority="58" operator="containsText" text="wt">
      <formula>NOT(ISERROR(SEARCH("wt",C17)))</formula>
    </cfRule>
  </conditionalFormatting>
  <conditionalFormatting sqref="C15:C16">
    <cfRule type="containsText" dxfId="824" priority="59" operator="containsText" text="ht">
      <formula>NOT(ISERROR(SEARCH("ht",C15)))</formula>
    </cfRule>
    <cfRule type="containsText" dxfId="823" priority="60" operator="containsText" text="mt">
      <formula>NOT(ISERROR(SEARCH("mt",C15)))</formula>
    </cfRule>
    <cfRule type="containsText" dxfId="822" priority="61" operator="containsText" text="wt">
      <formula>NOT(ISERROR(SEARCH("wt",C15)))</formula>
    </cfRule>
  </conditionalFormatting>
  <conditionalFormatting sqref="G22 U2 U5:U44">
    <cfRule type="cellIs" dxfId="821" priority="472" operator="greaterThan">
      <formula>$G$22</formula>
    </cfRule>
  </conditionalFormatting>
  <conditionalFormatting sqref="C12:L12">
    <cfRule type="containsText" dxfId="820" priority="50" operator="containsText" text="ht">
      <formula>NOT(ISERROR(SEARCH("ht",C12)))</formula>
    </cfRule>
    <cfRule type="containsText" dxfId="819" priority="51" operator="containsText" text="mt">
      <formula>NOT(ISERROR(SEARCH("mt",C12)))</formula>
    </cfRule>
    <cfRule type="containsText" dxfId="818" priority="52" operator="containsText" text="wt">
      <formula>NOT(ISERROR(SEARCH("wt",C12)))</formula>
    </cfRule>
  </conditionalFormatting>
  <conditionalFormatting sqref="C11:L11">
    <cfRule type="containsText" dxfId="817" priority="53" operator="containsText" text="ht">
      <formula>NOT(ISERROR(SEARCH("ht",C11)))</formula>
    </cfRule>
    <cfRule type="containsText" dxfId="816" priority="54" operator="containsText" text="mt">
      <formula>NOT(ISERROR(SEARCH("mt",C11)))</formula>
    </cfRule>
    <cfRule type="containsText" dxfId="815" priority="55" operator="containsText" text="wt">
      <formula>NOT(ISERROR(SEARCH("wt",C11)))</formula>
    </cfRule>
  </conditionalFormatting>
  <conditionalFormatting sqref="C12:L12">
    <cfRule type="cellIs" dxfId="814" priority="49" operator="equal">
      <formula>"?"</formula>
    </cfRule>
  </conditionalFormatting>
  <conditionalFormatting sqref="O37:O40">
    <cfRule type="containsText" dxfId="813" priority="46" operator="containsText" text="ht">
      <formula>NOT(ISERROR(SEARCH("ht",O37)))</formula>
    </cfRule>
    <cfRule type="containsText" dxfId="812" priority="47" operator="containsText" text="mt">
      <formula>NOT(ISERROR(SEARCH("mt",O37)))</formula>
    </cfRule>
    <cfRule type="containsText" dxfId="811" priority="48" operator="containsText" text="wt">
      <formula>NOT(ISERROR(SEARCH("wt",O37)))</formula>
    </cfRule>
  </conditionalFormatting>
  <conditionalFormatting sqref="T37:T40">
    <cfRule type="containsText" dxfId="810" priority="40" operator="containsText" text="ht">
      <formula>NOT(ISERROR(SEARCH("ht",T37)))</formula>
    </cfRule>
    <cfRule type="containsText" dxfId="809" priority="41" operator="containsText" text="mt">
      <formula>NOT(ISERROR(SEARCH("mt",T37)))</formula>
    </cfRule>
    <cfRule type="containsText" dxfId="808" priority="42" operator="containsText" text="wt">
      <formula>NOT(ISERROR(SEARCH("wt",T37)))</formula>
    </cfRule>
  </conditionalFormatting>
  <conditionalFormatting sqref="P37:P40">
    <cfRule type="containsText" dxfId="807" priority="43" operator="containsText" text="ht">
      <formula>NOT(ISERROR(SEARCH("ht",P37)))</formula>
    </cfRule>
    <cfRule type="containsText" dxfId="806" priority="44" operator="containsText" text="mt">
      <formula>NOT(ISERROR(SEARCH("mt",P37)))</formula>
    </cfRule>
    <cfRule type="containsText" dxfId="805" priority="45" operator="containsText" text="wt">
      <formula>NOT(ISERROR(SEARCH("wt",P37)))</formula>
    </cfRule>
  </conditionalFormatting>
  <conditionalFormatting sqref="U37:U40">
    <cfRule type="containsText" dxfId="804" priority="37" operator="containsText" text="ht">
      <formula>NOT(ISERROR(SEARCH("ht",U37)))</formula>
    </cfRule>
    <cfRule type="containsText" dxfId="803" priority="38" operator="containsText" text="mt">
      <formula>NOT(ISERROR(SEARCH("mt",U37)))</formula>
    </cfRule>
    <cfRule type="containsText" dxfId="802" priority="39" operator="containsText" text="wt">
      <formula>NOT(ISERROR(SEARCH("wt",U37)))</formula>
    </cfRule>
  </conditionalFormatting>
  <conditionalFormatting sqref="Q37:S40">
    <cfRule type="containsText" dxfId="801" priority="34" operator="containsText" text="ht">
      <formula>NOT(ISERROR(SEARCH("ht",Q37)))</formula>
    </cfRule>
    <cfRule type="containsText" dxfId="800" priority="35" operator="containsText" text="mt">
      <formula>NOT(ISERROR(SEARCH("mt",Q37)))</formula>
    </cfRule>
    <cfRule type="containsText" dxfId="799" priority="36" operator="containsText" text="wt">
      <formula>NOT(ISERROR(SEARCH("wt",Q37)))</formula>
    </cfRule>
  </conditionalFormatting>
  <conditionalFormatting sqref="N37 N45">
    <cfRule type="containsText" dxfId="798" priority="31" operator="containsText" text="ht">
      <formula>NOT(ISERROR(SEARCH("ht",N37)))</formula>
    </cfRule>
    <cfRule type="containsText" dxfId="797" priority="32" operator="containsText" text="mt">
      <formula>NOT(ISERROR(SEARCH("mt",N37)))</formula>
    </cfRule>
    <cfRule type="containsText" dxfId="796" priority="33" operator="containsText" text="wt">
      <formula>NOT(ISERROR(SEARCH("wt",N37)))</formula>
    </cfRule>
  </conditionalFormatting>
  <conditionalFormatting sqref="F15:G15">
    <cfRule type="containsBlanks" dxfId="795" priority="30">
      <formula>LEN(TRIM(F15))=0</formula>
    </cfRule>
  </conditionalFormatting>
  <conditionalFormatting sqref="J15:J16">
    <cfRule type="containsBlanks" dxfId="794" priority="29">
      <formula>LEN(TRIM(J15))=0</formula>
    </cfRule>
  </conditionalFormatting>
  <conditionalFormatting sqref="K15:L16">
    <cfRule type="containsBlanks" dxfId="793" priority="28">
      <formula>LEN(TRIM(K15))=0</formula>
    </cfRule>
  </conditionalFormatting>
  <conditionalFormatting sqref="AN35:AN44">
    <cfRule type="containsText" dxfId="792" priority="25" operator="containsText" text="ht">
      <formula>NOT(ISERROR(SEARCH("ht",AN35)))</formula>
    </cfRule>
    <cfRule type="containsText" dxfId="791" priority="26" operator="containsText" text="mt">
      <formula>NOT(ISERROR(SEARCH("mt",AN35)))</formula>
    </cfRule>
    <cfRule type="containsText" dxfId="790" priority="27" operator="containsText" text="wt">
      <formula>NOT(ISERROR(SEARCH("wt",AN35)))</formula>
    </cfRule>
  </conditionalFormatting>
  <conditionalFormatting sqref="AN35:AN44">
    <cfRule type="cellIs" dxfId="789" priority="24" operator="equal">
      <formula>"?"</formula>
    </cfRule>
  </conditionalFormatting>
  <conditionalFormatting sqref="C4">
    <cfRule type="containsText" dxfId="788" priority="20" operator="containsText" text="241/+ (F2s)">
      <formula>NOT(ISERROR(SEARCH("241/+ (F2s)",C4)))</formula>
    </cfRule>
    <cfRule type="containsText" dxfId="787" priority="21" operator="containsText" text="187/+ (F2s)">
      <formula>NOT(ISERROR(SEARCH("187/+ (F2s)",C4)))</formula>
    </cfRule>
    <cfRule type="containsText" dxfId="786" priority="22" operator="containsText" text="236/+ (F1s)">
      <formula>NOT(ISERROR(SEARCH("236/+ (F1s)",C4)))</formula>
    </cfRule>
    <cfRule type="containsText" dxfId="785" priority="23" operator="containsText" text="241/+ (F1s)">
      <formula>NOT(ISERROR(SEARCH("241/+ (F1s)",C4)))</formula>
    </cfRule>
  </conditionalFormatting>
  <conditionalFormatting sqref="C4:H4">
    <cfRule type="containsText" dxfId="784" priority="1" operator="containsText" text="3bp/+ (F2s)">
      <formula>NOT(ISERROR(SEARCH("3bp/+ (F2s)",C4)))</formula>
    </cfRule>
    <cfRule type="containsText" dxfId="783" priority="2" operator="containsText" text="STOP/+ (F2s)">
      <formula>NOT(ISERROR(SEARCH("STOP/+ (F2s)",C4)))</formula>
    </cfRule>
    <cfRule type="containsText" dxfId="782" priority="3" operator="containsText" text="241/+ (F3s)">
      <formula>NOT(ISERROR(SEARCH("241/+ (F3s)",C4)))</formula>
    </cfRule>
    <cfRule type="containsText" dxfId="781" priority="18" operator="containsText" text="spaw+/-; hapln1a prom241/+">
      <formula>NOT(ISERROR(SEARCH("spaw+/-; hapln1a prom241/+",C4)))</formula>
    </cfRule>
    <cfRule type="containsBlanks" dxfId="780" priority="19">
      <formula>LEN(TRIM(C4))=0</formula>
    </cfRule>
  </conditionalFormatting>
  <conditionalFormatting sqref="Z4">
    <cfRule type="containsText" dxfId="779" priority="8" operator="containsText" text="spaw+/-; hapln1a prom241/+">
      <formula>NOT(ISERROR(SEARCH("spaw+/-; hapln1a prom241/+",Z4)))</formula>
    </cfRule>
    <cfRule type="containsText" dxfId="778" priority="9" operator="containsText" text="187/187 (F3s)">
      <formula>NOT(ISERROR(SEARCH("187/187 (F3s)",Z4)))</formula>
    </cfRule>
    <cfRule type="containsText" dxfId="777" priority="10" operator="containsText" text="187/+ (F3s)">
      <formula>NOT(ISERROR(SEARCH("187/+ (F3s)",Z4)))</formula>
    </cfRule>
  </conditionalFormatting>
  <conditionalFormatting sqref="Z4">
    <cfRule type="containsText" dxfId="776" priority="14" operator="containsText" text="241/+ (F2s)">
      <formula>NOT(ISERROR(SEARCH("241/+ (F2s)",Z4)))</formula>
    </cfRule>
    <cfRule type="containsText" dxfId="775" priority="15" operator="containsText" text="187/+ (F2s)">
      <formula>NOT(ISERROR(SEARCH("187/+ (F2s)",Z4)))</formula>
    </cfRule>
    <cfRule type="containsText" dxfId="774" priority="16" operator="containsText" text="236/+ (F1s)">
      <formula>NOT(ISERROR(SEARCH("236/+ (F1s)",Z4)))</formula>
    </cfRule>
    <cfRule type="containsText" dxfId="773" priority="17" operator="containsText" text="241/+ (F1s)">
      <formula>NOT(ISERROR(SEARCH("241/+ (F1s)",Z4)))</formula>
    </cfRule>
  </conditionalFormatting>
  <conditionalFormatting sqref="Z4">
    <cfRule type="containsText" dxfId="772" priority="13" operator="containsText" text="241/241">
      <formula>NOT(ISERROR(SEARCH("241/241",Z4)))</formula>
    </cfRule>
  </conditionalFormatting>
  <conditionalFormatting sqref="Z4">
    <cfRule type="containsText" dxfId="771" priority="11" operator="containsText" text="prom+/+ (F3s)">
      <formula>NOT(ISERROR(SEARCH("prom+/+ (F3s)",Z4)))</formula>
    </cfRule>
    <cfRule type="containsText" dxfId="770" priority="12" operator="containsText" text="241/+ (F3s)">
      <formula>NOT(ISERROR(SEARCH("241/+ (F3s)",Z4)))</formula>
    </cfRule>
  </conditionalFormatting>
  <conditionalFormatting sqref="B6">
    <cfRule type="containsText" dxfId="769" priority="5" operator="containsText" text="ht">
      <formula>NOT(ISERROR(SEARCH("ht",B6)))</formula>
    </cfRule>
    <cfRule type="containsText" dxfId="768" priority="6" operator="containsText" text="mt">
      <formula>NOT(ISERROR(SEARCH("mt",B6)))</formula>
    </cfRule>
    <cfRule type="containsText" dxfId="767" priority="7" operator="containsText" text="wt">
      <formula>NOT(ISERROR(SEARCH("wt",B6)))</formula>
    </cfRule>
  </conditionalFormatting>
  <conditionalFormatting sqref="B6:B9">
    <cfRule type="containsBlanks" dxfId="766" priority="4">
      <formula>LEN(TRIM(B6))=0</formula>
    </cfRule>
  </conditionalFormatting>
  <conditionalFormatting sqref="AB1:AB3 AB14:AB1048576 AB8">
    <cfRule type="containsText" dxfId="765" priority="251" operator="containsText" text="ht">
      <formula>NOT(ISERROR(SEARCH("ht",#REF!)))</formula>
    </cfRule>
    <cfRule type="containsText" dxfId="764" priority="252" operator="containsText" text="mt">
      <formula>NOT(ISERROR(SEARCH("mt",#REF!)))</formula>
    </cfRule>
    <cfRule type="containsText" dxfId="763" priority="253" operator="containsText" text="wt">
      <formula>NOT(ISERROR(SEARCH("wt",#REF!)))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6"/>
  <sheetViews>
    <sheetView zoomScale="80" zoomScaleNormal="80" workbookViewId="0">
      <selection activeCell="W1" sqref="W1"/>
    </sheetView>
  </sheetViews>
  <sheetFormatPr defaultColWidth="9.140625" defaultRowHeight="15" x14ac:dyDescent="0.25"/>
  <cols>
    <col min="1" max="1" width="7.42578125" style="3" customWidth="1"/>
    <col min="2" max="2" width="7.140625" style="3" customWidth="1"/>
    <col min="3" max="7" width="5.42578125" style="3" customWidth="1"/>
    <col min="8" max="8" width="6" style="3" bestFit="1" customWidth="1"/>
    <col min="9" max="9" width="5.42578125" style="3" customWidth="1"/>
    <col min="10" max="10" width="6.28515625" style="3" bestFit="1" customWidth="1"/>
    <col min="11" max="11" width="5.42578125" style="3" customWidth="1"/>
    <col min="12" max="12" width="5.28515625" style="3" customWidth="1"/>
    <col min="13" max="13" width="5.7109375" style="3" customWidth="1"/>
    <col min="14" max="14" width="4.28515625" style="3" customWidth="1"/>
    <col min="15" max="16" width="9.140625" style="3"/>
    <col min="17" max="17" width="12.85546875" style="3" customWidth="1"/>
    <col min="18" max="18" width="7" style="3" bestFit="1" customWidth="1"/>
    <col min="19" max="19" width="9.140625" style="3" bestFit="1" customWidth="1"/>
    <col min="20" max="20" width="7.85546875" style="3" bestFit="1" customWidth="1"/>
    <col min="21" max="21" width="12.85546875" style="3" customWidth="1"/>
    <col min="22" max="22" width="13.28515625" style="3" customWidth="1"/>
    <col min="23" max="23" width="12.42578125" style="3" customWidth="1"/>
    <col min="24" max="24" width="5.7109375" style="3" customWidth="1"/>
    <col min="25" max="25" width="8.42578125" style="3" customWidth="1"/>
    <col min="26" max="26" width="32.85546875" style="3" customWidth="1"/>
    <col min="27" max="28" width="11.140625" style="3" customWidth="1"/>
    <col min="29" max="29" width="10.42578125" style="3" bestFit="1" customWidth="1"/>
    <col min="30" max="30" width="9.140625" style="3"/>
    <col min="31" max="33" width="5.7109375" style="3" customWidth="1"/>
    <col min="34" max="34" width="9.42578125" style="3" customWidth="1"/>
    <col min="35" max="38" width="5.7109375" style="3" customWidth="1"/>
    <col min="39" max="39" width="7.42578125" style="3" customWidth="1"/>
    <col min="40" max="40" width="9.28515625" style="3" bestFit="1" customWidth="1"/>
    <col min="41" max="16384" width="9.140625" style="3"/>
  </cols>
  <sheetData>
    <row r="1" spans="1:41" x14ac:dyDescent="0.25">
      <c r="A1" s="1"/>
      <c r="B1" s="2"/>
      <c r="M1" s="2"/>
      <c r="P1" s="4" t="s">
        <v>0</v>
      </c>
      <c r="Q1" s="102">
        <f>F25+J25</f>
        <v>0</v>
      </c>
      <c r="R1" s="102"/>
      <c r="T1" s="4" t="s">
        <v>1</v>
      </c>
      <c r="U1" s="102">
        <f>F25+J26</f>
        <v>0</v>
      </c>
      <c r="V1" s="102"/>
      <c r="W1" s="5">
        <f>MAX(V5:V44)</f>
        <v>0</v>
      </c>
      <c r="AH1" s="2"/>
      <c r="AN1" s="6"/>
    </row>
    <row r="2" spans="1:41" x14ac:dyDescent="0.25">
      <c r="A2" s="2"/>
      <c r="B2" s="2"/>
      <c r="AI2" s="103" t="s">
        <v>2</v>
      </c>
      <c r="AJ2" s="104"/>
      <c r="AK2" s="105"/>
      <c r="AN2" s="6"/>
    </row>
    <row r="3" spans="1:41" ht="15" customHeight="1" x14ac:dyDescent="0.25">
      <c r="B3" s="7" t="s">
        <v>3</v>
      </c>
      <c r="C3" s="8">
        <f>A1</f>
        <v>0</v>
      </c>
      <c r="D3" s="9"/>
      <c r="E3" s="9"/>
      <c r="J3" s="7" t="s">
        <v>4</v>
      </c>
      <c r="K3" s="106"/>
      <c r="L3" s="107"/>
      <c r="O3" s="108" t="s">
        <v>5</v>
      </c>
      <c r="P3" s="108" t="s">
        <v>6</v>
      </c>
      <c r="Q3" s="109" t="s">
        <v>7</v>
      </c>
      <c r="R3" s="109"/>
      <c r="S3" s="109"/>
      <c r="T3" s="109"/>
      <c r="U3" s="108" t="s">
        <v>8</v>
      </c>
      <c r="V3" s="108" t="s">
        <v>9</v>
      </c>
      <c r="W3" s="108" t="s">
        <v>10</v>
      </c>
      <c r="Y3" s="10" t="s">
        <v>11</v>
      </c>
      <c r="Z3" s="10" t="s">
        <v>12</v>
      </c>
      <c r="AA3" s="10" t="s">
        <v>13</v>
      </c>
      <c r="AB3" s="10" t="s">
        <v>14</v>
      </c>
      <c r="AC3" s="10" t="s">
        <v>15</v>
      </c>
      <c r="AD3" s="10" t="s">
        <v>16</v>
      </c>
      <c r="AE3" s="10" t="s">
        <v>17</v>
      </c>
      <c r="AF3" s="10" t="s">
        <v>18</v>
      </c>
      <c r="AG3" s="10" t="s">
        <v>19</v>
      </c>
      <c r="AH3" s="10" t="s">
        <v>20</v>
      </c>
      <c r="AI3" s="11" t="s">
        <v>17</v>
      </c>
      <c r="AJ3" s="11" t="s">
        <v>18</v>
      </c>
      <c r="AK3" s="11" t="s">
        <v>19</v>
      </c>
      <c r="AM3" s="3" t="s">
        <v>21</v>
      </c>
      <c r="AN3" s="3">
        <f>A1</f>
        <v>0</v>
      </c>
      <c r="AO3" s="3">
        <f>A1</f>
        <v>0</v>
      </c>
    </row>
    <row r="4" spans="1:41" x14ac:dyDescent="0.25">
      <c r="B4" s="12" t="s">
        <v>22</v>
      </c>
      <c r="C4" s="99"/>
      <c r="D4" s="99"/>
      <c r="E4" s="99"/>
      <c r="F4" s="99"/>
      <c r="G4" s="99"/>
      <c r="H4" s="99"/>
      <c r="J4" s="7" t="s">
        <v>23</v>
      </c>
      <c r="K4" s="100"/>
      <c r="L4" s="100"/>
      <c r="O4" s="108"/>
      <c r="P4" s="108"/>
      <c r="Q4" s="13" t="s">
        <v>24</v>
      </c>
      <c r="R4" s="4" t="s">
        <v>25</v>
      </c>
      <c r="S4" s="4" t="s">
        <v>26</v>
      </c>
      <c r="T4" s="4" t="s">
        <v>27</v>
      </c>
      <c r="U4" s="108"/>
      <c r="V4" s="108"/>
      <c r="W4" s="108"/>
      <c r="Y4" s="14">
        <f>C3</f>
        <v>0</v>
      </c>
      <c r="Z4" s="15">
        <f>C4</f>
        <v>0</v>
      </c>
      <c r="AA4" s="16">
        <f>K4</f>
        <v>0</v>
      </c>
      <c r="AB4" s="17" t="s">
        <v>28</v>
      </c>
      <c r="AC4" s="18">
        <f>K3</f>
        <v>0</v>
      </c>
      <c r="AD4" s="14">
        <f>E13</f>
        <v>0</v>
      </c>
      <c r="AE4" s="14">
        <f>H29</f>
        <v>0</v>
      </c>
      <c r="AF4" s="14">
        <f>J29</f>
        <v>0</v>
      </c>
      <c r="AG4" s="14">
        <f>L29</f>
        <v>0</v>
      </c>
      <c r="AH4" s="14" t="s">
        <v>29</v>
      </c>
      <c r="AI4" s="14">
        <f>H31</f>
        <v>0</v>
      </c>
      <c r="AJ4" s="14">
        <f>J31</f>
        <v>0</v>
      </c>
      <c r="AK4" s="14">
        <f>L31</f>
        <v>0</v>
      </c>
      <c r="AM4" s="3" t="s">
        <v>30</v>
      </c>
      <c r="AN4" s="3">
        <f>B6</f>
        <v>0</v>
      </c>
      <c r="AO4" s="3">
        <f>B16</f>
        <v>0</v>
      </c>
    </row>
    <row r="5" spans="1:41" ht="15" customHeight="1" x14ac:dyDescent="0.25"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N5" s="83">
        <v>1</v>
      </c>
      <c r="O5" s="19" t="s">
        <v>31</v>
      </c>
      <c r="P5" s="19" t="s">
        <v>32</v>
      </c>
      <c r="Q5" s="20"/>
      <c r="R5" s="20"/>
      <c r="S5" s="20"/>
      <c r="T5" s="20"/>
      <c r="U5" s="20">
        <f>T5-Q5</f>
        <v>0</v>
      </c>
      <c r="V5" s="21">
        <f>(($K$3+T5)-$Q$1)*24</f>
        <v>0</v>
      </c>
      <c r="W5" s="22"/>
      <c r="Y5" s="14"/>
      <c r="Z5" s="16"/>
      <c r="AA5" s="16"/>
      <c r="AB5" s="16"/>
      <c r="AC5" s="18"/>
      <c r="AD5" s="14"/>
      <c r="AE5" s="14"/>
      <c r="AF5" s="14"/>
      <c r="AG5" s="14"/>
      <c r="AH5" s="14"/>
      <c r="AI5" s="14"/>
      <c r="AJ5" s="14"/>
      <c r="AK5" s="14"/>
      <c r="AM5" s="3" t="s">
        <v>31</v>
      </c>
      <c r="AN5" s="23" t="str">
        <f t="array" ref="AN5:AN14">TRANSPOSE(C6:L6)</f>
        <v>X</v>
      </c>
      <c r="AO5" s="3" t="str">
        <f t="array" ref="AO5:AO14">TRANSPOSE(C16:L16)</f>
        <v>X</v>
      </c>
    </row>
    <row r="6" spans="1:41" x14ac:dyDescent="0.25">
      <c r="A6" s="48"/>
      <c r="B6" s="101"/>
      <c r="C6" s="24" t="s">
        <v>33</v>
      </c>
      <c r="D6" s="24" t="s">
        <v>33</v>
      </c>
      <c r="E6" s="24" t="s">
        <v>33</v>
      </c>
      <c r="F6" s="24" t="s">
        <v>33</v>
      </c>
      <c r="G6" s="24" t="s">
        <v>33</v>
      </c>
      <c r="H6" s="24" t="s">
        <v>33</v>
      </c>
      <c r="I6" s="24" t="s">
        <v>33</v>
      </c>
      <c r="J6" s="24" t="s">
        <v>33</v>
      </c>
      <c r="K6" s="24" t="s">
        <v>33</v>
      </c>
      <c r="L6" s="24" t="s">
        <v>33</v>
      </c>
      <c r="N6" s="83"/>
      <c r="O6" s="19" t="s">
        <v>34</v>
      </c>
      <c r="P6" s="19" t="s">
        <v>32</v>
      </c>
      <c r="Q6" s="20">
        <f>Q5</f>
        <v>0</v>
      </c>
      <c r="R6" s="20">
        <f t="shared" ref="R6:S8" si="0">R5</f>
        <v>0</v>
      </c>
      <c r="S6" s="20">
        <f t="shared" si="0"/>
        <v>0</v>
      </c>
      <c r="T6" s="20"/>
      <c r="U6" s="20">
        <f t="shared" ref="U6:U24" si="1">T6-Q6</f>
        <v>0</v>
      </c>
      <c r="V6" s="21">
        <f t="shared" ref="V6:V44" si="2">(($K$3+T6)-$Q$1)*24</f>
        <v>0</v>
      </c>
      <c r="W6" s="22"/>
      <c r="Y6" s="2"/>
      <c r="Z6" s="25"/>
      <c r="AA6" s="26"/>
      <c r="AB6" s="26"/>
      <c r="AC6" s="27"/>
      <c r="AD6" s="2"/>
      <c r="AE6" s="2"/>
      <c r="AF6" s="2"/>
      <c r="AG6" s="2"/>
      <c r="AH6" s="2"/>
      <c r="AI6" s="2"/>
      <c r="AJ6" s="2"/>
      <c r="AK6" s="2"/>
      <c r="AM6" s="3" t="s">
        <v>34</v>
      </c>
      <c r="AN6" s="23" t="str">
        <v>X</v>
      </c>
      <c r="AO6" s="3" t="str">
        <v>X</v>
      </c>
    </row>
    <row r="7" spans="1:41" x14ac:dyDescent="0.25">
      <c r="A7" s="48"/>
      <c r="B7" s="101"/>
      <c r="C7" s="3">
        <v>11</v>
      </c>
      <c r="D7" s="3">
        <v>12</v>
      </c>
      <c r="E7" s="3">
        <v>13</v>
      </c>
      <c r="F7" s="3">
        <v>14</v>
      </c>
      <c r="G7" s="3">
        <v>15</v>
      </c>
      <c r="H7" s="3">
        <v>16</v>
      </c>
      <c r="I7" s="3">
        <v>17</v>
      </c>
      <c r="J7" s="3">
        <v>18</v>
      </c>
      <c r="K7" s="3">
        <v>19</v>
      </c>
      <c r="L7" s="3">
        <v>20</v>
      </c>
      <c r="N7" s="83"/>
      <c r="O7" s="19" t="s">
        <v>35</v>
      </c>
      <c r="P7" s="19" t="s">
        <v>32</v>
      </c>
      <c r="Q7" s="20">
        <f>Q6</f>
        <v>0</v>
      </c>
      <c r="R7" s="20">
        <f t="shared" si="0"/>
        <v>0</v>
      </c>
      <c r="S7" s="20">
        <f t="shared" si="0"/>
        <v>0</v>
      </c>
      <c r="T7" s="20"/>
      <c r="U7" s="20">
        <f t="shared" si="1"/>
        <v>0</v>
      </c>
      <c r="V7" s="21">
        <f t="shared" si="2"/>
        <v>0</v>
      </c>
      <c r="W7" s="22"/>
      <c r="Y7" s="2"/>
      <c r="Z7" s="25"/>
      <c r="AA7" s="26"/>
      <c r="AB7" s="26"/>
      <c r="AC7" s="27"/>
      <c r="AD7" s="2"/>
      <c r="AE7" s="2"/>
      <c r="AF7" s="2"/>
      <c r="AG7" s="2"/>
      <c r="AH7" s="2"/>
      <c r="AI7" s="2"/>
      <c r="AJ7" s="2"/>
      <c r="AK7" s="2"/>
      <c r="AM7" s="3" t="s">
        <v>35</v>
      </c>
      <c r="AN7" s="23" t="str">
        <v>X</v>
      </c>
      <c r="AO7" s="3" t="str">
        <v>X</v>
      </c>
    </row>
    <row r="8" spans="1:41" x14ac:dyDescent="0.25">
      <c r="A8" s="48"/>
      <c r="B8" s="101"/>
      <c r="C8" s="24" t="s">
        <v>33</v>
      </c>
      <c r="D8" s="24" t="s">
        <v>33</v>
      </c>
      <c r="E8" s="24" t="s">
        <v>33</v>
      </c>
      <c r="F8" s="24" t="s">
        <v>33</v>
      </c>
      <c r="G8" s="24" t="s">
        <v>33</v>
      </c>
      <c r="H8" s="24" t="s">
        <v>33</v>
      </c>
      <c r="I8" s="24" t="s">
        <v>33</v>
      </c>
      <c r="J8" s="24" t="s">
        <v>33</v>
      </c>
      <c r="K8" s="24" t="s">
        <v>33</v>
      </c>
      <c r="L8" s="24" t="s">
        <v>33</v>
      </c>
      <c r="N8" s="83"/>
      <c r="O8" s="19" t="s">
        <v>36</v>
      </c>
      <c r="P8" s="19" t="s">
        <v>32</v>
      </c>
      <c r="Q8" s="20">
        <f>Q7</f>
        <v>0</v>
      </c>
      <c r="R8" s="20">
        <f t="shared" si="0"/>
        <v>0</v>
      </c>
      <c r="S8" s="20">
        <f t="shared" si="0"/>
        <v>0</v>
      </c>
      <c r="T8" s="20"/>
      <c r="U8" s="20">
        <f t="shared" si="1"/>
        <v>0</v>
      </c>
      <c r="V8" s="21">
        <f t="shared" si="2"/>
        <v>0</v>
      </c>
      <c r="W8" s="22"/>
      <c r="Z8" s="2"/>
      <c r="AM8" s="3" t="s">
        <v>36</v>
      </c>
      <c r="AN8" s="23" t="str">
        <v>X</v>
      </c>
      <c r="AO8" s="3" t="str">
        <v>X</v>
      </c>
    </row>
    <row r="9" spans="1:41" x14ac:dyDescent="0.25">
      <c r="A9" s="48"/>
      <c r="B9" s="101"/>
      <c r="C9" s="3">
        <v>21</v>
      </c>
      <c r="D9" s="3">
        <v>22</v>
      </c>
      <c r="E9" s="3">
        <v>23</v>
      </c>
      <c r="F9" s="3">
        <v>24</v>
      </c>
      <c r="G9" s="3">
        <v>25</v>
      </c>
      <c r="H9" s="3">
        <v>26</v>
      </c>
      <c r="I9" s="3">
        <v>27</v>
      </c>
      <c r="J9" s="3">
        <v>28</v>
      </c>
      <c r="K9" s="3">
        <v>29</v>
      </c>
      <c r="L9" s="3">
        <v>30</v>
      </c>
      <c r="N9" s="83">
        <v>2</v>
      </c>
      <c r="O9" s="3" t="s">
        <v>37</v>
      </c>
      <c r="P9" s="3" t="s">
        <v>32</v>
      </c>
      <c r="Q9" s="28"/>
      <c r="R9" s="28"/>
      <c r="S9" s="28"/>
      <c r="T9" s="28"/>
      <c r="U9" s="28">
        <f t="shared" si="1"/>
        <v>0</v>
      </c>
      <c r="V9" s="29">
        <f t="shared" si="2"/>
        <v>0</v>
      </c>
      <c r="W9" s="30"/>
      <c r="AM9" s="3" t="s">
        <v>37</v>
      </c>
      <c r="AN9" s="23" t="str">
        <v>X</v>
      </c>
      <c r="AO9" s="3" t="str">
        <v>X</v>
      </c>
    </row>
    <row r="10" spans="1:41" x14ac:dyDescent="0.25">
      <c r="A10" s="48"/>
      <c r="B10" s="101" t="s">
        <v>38</v>
      </c>
      <c r="C10" s="24" t="s">
        <v>33</v>
      </c>
      <c r="D10" s="24" t="s">
        <v>33</v>
      </c>
      <c r="E10" s="24" t="s">
        <v>33</v>
      </c>
      <c r="F10" s="24" t="s">
        <v>33</v>
      </c>
      <c r="G10" s="24" t="s">
        <v>33</v>
      </c>
      <c r="H10" s="24" t="s">
        <v>33</v>
      </c>
      <c r="I10" s="24" t="s">
        <v>33</v>
      </c>
      <c r="J10" s="24" t="s">
        <v>33</v>
      </c>
      <c r="K10" s="24" t="s">
        <v>33</v>
      </c>
      <c r="L10" s="24" t="s">
        <v>33</v>
      </c>
      <c r="N10" s="83"/>
      <c r="O10" s="3" t="s">
        <v>39</v>
      </c>
      <c r="P10" s="3" t="s">
        <v>32</v>
      </c>
      <c r="Q10" s="28">
        <f>Q9</f>
        <v>0</v>
      </c>
      <c r="R10" s="28">
        <f t="shared" ref="R10:S10" si="3">R9</f>
        <v>0</v>
      </c>
      <c r="S10" s="28">
        <f t="shared" si="3"/>
        <v>0</v>
      </c>
      <c r="T10" s="28"/>
      <c r="U10" s="28">
        <f t="shared" si="1"/>
        <v>0</v>
      </c>
      <c r="V10" s="29">
        <f t="shared" si="2"/>
        <v>0</v>
      </c>
      <c r="W10" s="30"/>
      <c r="AM10" s="3" t="s">
        <v>39</v>
      </c>
      <c r="AN10" s="23" t="str">
        <v>X</v>
      </c>
      <c r="AO10" s="3" t="str">
        <v>X</v>
      </c>
    </row>
    <row r="11" spans="1:41" x14ac:dyDescent="0.25">
      <c r="A11" s="48"/>
      <c r="B11" s="101"/>
      <c r="C11" s="3">
        <v>31</v>
      </c>
      <c r="D11" s="3">
        <v>32</v>
      </c>
      <c r="E11" s="3">
        <v>33</v>
      </c>
      <c r="F11" s="3">
        <v>34</v>
      </c>
      <c r="G11" s="3">
        <v>35</v>
      </c>
      <c r="H11" s="3">
        <v>36</v>
      </c>
      <c r="I11" s="3">
        <v>37</v>
      </c>
      <c r="J11" s="3">
        <v>38</v>
      </c>
      <c r="K11" s="3">
        <v>39</v>
      </c>
      <c r="L11" s="3">
        <v>40</v>
      </c>
      <c r="N11" s="83"/>
      <c r="O11" s="3" t="s">
        <v>40</v>
      </c>
      <c r="P11" s="3" t="s">
        <v>32</v>
      </c>
      <c r="Q11" s="28">
        <f t="shared" ref="Q11:S12" si="4">Q10</f>
        <v>0</v>
      </c>
      <c r="R11" s="28">
        <f t="shared" si="4"/>
        <v>0</v>
      </c>
      <c r="S11" s="28">
        <f t="shared" si="4"/>
        <v>0</v>
      </c>
      <c r="T11" s="28"/>
      <c r="U11" s="28">
        <f t="shared" si="1"/>
        <v>0</v>
      </c>
      <c r="V11" s="29">
        <f t="shared" si="2"/>
        <v>0</v>
      </c>
      <c r="W11" s="30"/>
      <c r="AM11" s="3" t="s">
        <v>40</v>
      </c>
      <c r="AN11" s="23" t="str">
        <v>X</v>
      </c>
      <c r="AO11" s="3" t="str">
        <v>X</v>
      </c>
    </row>
    <row r="12" spans="1:41" ht="15" customHeight="1" x14ac:dyDescent="0.25">
      <c r="A12" s="48"/>
      <c r="B12" s="101"/>
      <c r="C12" s="24" t="s">
        <v>33</v>
      </c>
      <c r="D12" s="24" t="s">
        <v>33</v>
      </c>
      <c r="E12" s="24" t="s">
        <v>33</v>
      </c>
      <c r="F12" s="24" t="s">
        <v>33</v>
      </c>
      <c r="G12" s="24" t="s">
        <v>33</v>
      </c>
      <c r="H12" s="24" t="s">
        <v>33</v>
      </c>
      <c r="I12" s="24" t="s">
        <v>33</v>
      </c>
      <c r="J12" s="24" t="s">
        <v>33</v>
      </c>
      <c r="K12" s="24" t="s">
        <v>33</v>
      </c>
      <c r="L12" s="24" t="s">
        <v>33</v>
      </c>
      <c r="N12" s="83"/>
      <c r="O12" s="3" t="s">
        <v>41</v>
      </c>
      <c r="P12" s="3" t="s">
        <v>32</v>
      </c>
      <c r="Q12" s="28">
        <f>Q11</f>
        <v>0</v>
      </c>
      <c r="R12" s="28">
        <f t="shared" si="4"/>
        <v>0</v>
      </c>
      <c r="S12" s="28">
        <f t="shared" si="4"/>
        <v>0</v>
      </c>
      <c r="T12" s="28"/>
      <c r="U12" s="28">
        <f t="shared" si="1"/>
        <v>0</v>
      </c>
      <c r="V12" s="29">
        <f t="shared" si="2"/>
        <v>0</v>
      </c>
      <c r="W12" s="30"/>
      <c r="AM12" s="3" t="s">
        <v>41</v>
      </c>
      <c r="AN12" s="23" t="str">
        <v>X</v>
      </c>
      <c r="AO12" s="3" t="str">
        <v>X</v>
      </c>
    </row>
    <row r="13" spans="1:41" ht="15" customHeight="1" x14ac:dyDescent="0.25">
      <c r="C13" s="31" t="s">
        <v>42</v>
      </c>
      <c r="D13" s="31"/>
      <c r="E13" s="32">
        <f>H13+J13+L13</f>
        <v>0</v>
      </c>
      <c r="G13" s="32" t="s">
        <v>17</v>
      </c>
      <c r="H13" s="32">
        <f>COUNTIF(C6:L12,"*"&amp;G13&amp;"*")</f>
        <v>0</v>
      </c>
      <c r="I13" s="32" t="s">
        <v>18</v>
      </c>
      <c r="J13" s="32">
        <f>COUNTIF(C6:L12,"*"&amp;I13&amp;"*")</f>
        <v>0</v>
      </c>
      <c r="K13" s="32" t="s">
        <v>19</v>
      </c>
      <c r="L13" s="32">
        <f>COUNTIF(C6:L12,"*"&amp;K13&amp;"*")</f>
        <v>0</v>
      </c>
      <c r="N13" s="83">
        <v>3</v>
      </c>
      <c r="O13" s="19" t="s">
        <v>43</v>
      </c>
      <c r="P13" s="19" t="s">
        <v>32</v>
      </c>
      <c r="Q13" s="20"/>
      <c r="R13" s="20"/>
      <c r="S13" s="20"/>
      <c r="T13" s="20"/>
      <c r="U13" s="20">
        <f t="shared" si="1"/>
        <v>0</v>
      </c>
      <c r="V13" s="21">
        <f t="shared" si="2"/>
        <v>0</v>
      </c>
      <c r="W13" s="22"/>
      <c r="AM13" s="3" t="s">
        <v>43</v>
      </c>
      <c r="AN13" s="23" t="str">
        <v>X</v>
      </c>
      <c r="AO13" s="3" t="str">
        <v>X</v>
      </c>
    </row>
    <row r="14" spans="1:41" ht="15" customHeight="1" x14ac:dyDescent="0.25">
      <c r="N14" s="83"/>
      <c r="O14" s="19" t="s">
        <v>44</v>
      </c>
      <c r="P14" s="19" t="s">
        <v>32</v>
      </c>
      <c r="Q14" s="20">
        <f>Q13</f>
        <v>0</v>
      </c>
      <c r="R14" s="20">
        <f>R13</f>
        <v>0</v>
      </c>
      <c r="S14" s="20">
        <f>S13</f>
        <v>0</v>
      </c>
      <c r="T14" s="20"/>
      <c r="U14" s="20">
        <f t="shared" si="1"/>
        <v>0</v>
      </c>
      <c r="V14" s="21">
        <f t="shared" si="2"/>
        <v>0</v>
      </c>
      <c r="W14" s="22"/>
      <c r="AM14" s="3" t="s">
        <v>44</v>
      </c>
      <c r="AN14" s="23" t="str">
        <v>X</v>
      </c>
      <c r="AO14" s="3" t="str">
        <v>X</v>
      </c>
    </row>
    <row r="15" spans="1:41" x14ac:dyDescent="0.25"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N15" s="83"/>
      <c r="O15" s="19" t="s">
        <v>49</v>
      </c>
      <c r="P15" s="19" t="s">
        <v>32</v>
      </c>
      <c r="Q15" s="20">
        <f>Q14</f>
        <v>0</v>
      </c>
      <c r="R15" s="20">
        <f t="shared" ref="R15:S15" si="5">R14</f>
        <v>0</v>
      </c>
      <c r="S15" s="20">
        <f t="shared" si="5"/>
        <v>0</v>
      </c>
      <c r="T15" s="20"/>
      <c r="U15" s="20">
        <f t="shared" si="1"/>
        <v>0</v>
      </c>
      <c r="V15" s="21">
        <f t="shared" si="2"/>
        <v>0</v>
      </c>
      <c r="W15" s="22"/>
      <c r="AM15" s="3" t="s">
        <v>49</v>
      </c>
      <c r="AN15" s="23" t="str">
        <f t="array" ref="AN15:AN24">TRANSPOSE(C8:L8)</f>
        <v>X</v>
      </c>
      <c r="AO15" s="3" t="str">
        <f t="array" ref="AO15:AO24">TRANSPOSE(C18:L18)</f>
        <v>X</v>
      </c>
    </row>
    <row r="16" spans="1:41" ht="15" customHeight="1" x14ac:dyDescent="0.25">
      <c r="A16" s="48"/>
      <c r="B16" s="101"/>
      <c r="C16" s="24" t="s">
        <v>33</v>
      </c>
      <c r="D16" s="24" t="s">
        <v>33</v>
      </c>
      <c r="E16" s="24" t="s">
        <v>33</v>
      </c>
      <c r="F16" s="24" t="s">
        <v>33</v>
      </c>
      <c r="G16" s="24" t="s">
        <v>33</v>
      </c>
      <c r="H16" s="24" t="s">
        <v>33</v>
      </c>
      <c r="I16" s="24" t="s">
        <v>33</v>
      </c>
      <c r="J16" s="24" t="s">
        <v>33</v>
      </c>
      <c r="K16" s="24" t="s">
        <v>33</v>
      </c>
      <c r="L16" s="24" t="s">
        <v>33</v>
      </c>
      <c r="N16" s="83"/>
      <c r="O16" s="19" t="s">
        <v>51</v>
      </c>
      <c r="P16" s="19" t="s">
        <v>32</v>
      </c>
      <c r="Q16" s="20">
        <f t="shared" ref="Q16:S16" si="6">Q15</f>
        <v>0</v>
      </c>
      <c r="R16" s="20">
        <f t="shared" si="6"/>
        <v>0</v>
      </c>
      <c r="S16" s="20">
        <f t="shared" si="6"/>
        <v>0</v>
      </c>
      <c r="T16" s="20"/>
      <c r="U16" s="20">
        <f t="shared" si="1"/>
        <v>0</v>
      </c>
      <c r="V16" s="21">
        <f t="shared" si="2"/>
        <v>0</v>
      </c>
      <c r="W16" s="22"/>
      <c r="AM16" s="3" t="s">
        <v>51</v>
      </c>
      <c r="AN16" s="23" t="str">
        <v>X</v>
      </c>
      <c r="AO16" s="3" t="str">
        <v>X</v>
      </c>
    </row>
    <row r="17" spans="1:41" x14ac:dyDescent="0.25">
      <c r="A17" s="48"/>
      <c r="B17" s="101"/>
      <c r="C17" s="3">
        <v>11</v>
      </c>
      <c r="D17" s="3">
        <v>12</v>
      </c>
      <c r="E17" s="3">
        <v>13</v>
      </c>
      <c r="F17" s="3">
        <v>14</v>
      </c>
      <c r="G17" s="3">
        <v>15</v>
      </c>
      <c r="H17" s="3">
        <v>16</v>
      </c>
      <c r="I17" s="3">
        <v>17</v>
      </c>
      <c r="J17" s="3">
        <v>18</v>
      </c>
      <c r="K17" s="3">
        <v>19</v>
      </c>
      <c r="L17" s="3">
        <v>20</v>
      </c>
      <c r="N17" s="83">
        <v>4</v>
      </c>
      <c r="O17" s="3" t="s">
        <v>52</v>
      </c>
      <c r="P17" s="3" t="s">
        <v>32</v>
      </c>
      <c r="Q17" s="28"/>
      <c r="R17" s="28"/>
      <c r="S17" s="28"/>
      <c r="T17" s="28"/>
      <c r="U17" s="28">
        <f t="shared" si="1"/>
        <v>0</v>
      </c>
      <c r="V17" s="29">
        <f t="shared" si="2"/>
        <v>0</v>
      </c>
      <c r="W17" s="30"/>
      <c r="AM17" s="3" t="s">
        <v>52</v>
      </c>
      <c r="AN17" s="23" t="str">
        <v>X</v>
      </c>
      <c r="AO17" s="3" t="str">
        <v>X</v>
      </c>
    </row>
    <row r="18" spans="1:41" x14ac:dyDescent="0.25">
      <c r="A18" s="48"/>
      <c r="B18" s="101"/>
      <c r="C18" s="24" t="s">
        <v>33</v>
      </c>
      <c r="D18" s="24" t="s">
        <v>33</v>
      </c>
      <c r="E18" s="24" t="s">
        <v>33</v>
      </c>
      <c r="F18" s="24" t="s">
        <v>33</v>
      </c>
      <c r="G18" s="24" t="s">
        <v>33</v>
      </c>
      <c r="H18" s="24" t="s">
        <v>33</v>
      </c>
      <c r="I18" s="24" t="s">
        <v>33</v>
      </c>
      <c r="J18" s="24" t="s">
        <v>33</v>
      </c>
      <c r="K18" s="24" t="s">
        <v>33</v>
      </c>
      <c r="L18" s="24" t="s">
        <v>33</v>
      </c>
      <c r="N18" s="83"/>
      <c r="O18" s="3" t="s">
        <v>53</v>
      </c>
      <c r="P18" s="3" t="s">
        <v>32</v>
      </c>
      <c r="Q18" s="28">
        <f>Q17</f>
        <v>0</v>
      </c>
      <c r="R18" s="28">
        <f t="shared" ref="R18:S20" si="7">R17</f>
        <v>0</v>
      </c>
      <c r="S18" s="28">
        <f t="shared" si="7"/>
        <v>0</v>
      </c>
      <c r="T18" s="28"/>
      <c r="U18" s="28">
        <f t="shared" si="1"/>
        <v>0</v>
      </c>
      <c r="V18" s="29">
        <f t="shared" si="2"/>
        <v>0</v>
      </c>
      <c r="W18" s="30"/>
      <c r="AM18" s="3" t="s">
        <v>53</v>
      </c>
      <c r="AN18" s="23" t="str">
        <v>X</v>
      </c>
      <c r="AO18" s="3" t="str">
        <v>X</v>
      </c>
    </row>
    <row r="19" spans="1:41" x14ac:dyDescent="0.25">
      <c r="A19" s="48"/>
      <c r="B19" s="101"/>
      <c r="C19" s="3">
        <v>21</v>
      </c>
      <c r="D19" s="3">
        <v>22</v>
      </c>
      <c r="E19" s="3">
        <v>23</v>
      </c>
      <c r="F19" s="3">
        <v>24</v>
      </c>
      <c r="G19" s="3">
        <v>25</v>
      </c>
      <c r="H19" s="3">
        <v>26</v>
      </c>
      <c r="I19" s="3">
        <v>27</v>
      </c>
      <c r="J19" s="3">
        <v>28</v>
      </c>
      <c r="K19" s="3">
        <v>29</v>
      </c>
      <c r="L19" s="3">
        <v>30</v>
      </c>
      <c r="N19" s="83"/>
      <c r="O19" s="3" t="s">
        <v>54</v>
      </c>
      <c r="P19" s="3" t="s">
        <v>32</v>
      </c>
      <c r="Q19" s="28">
        <f t="shared" ref="Q19" si="8">Q18</f>
        <v>0</v>
      </c>
      <c r="R19" s="28">
        <f t="shared" si="7"/>
        <v>0</v>
      </c>
      <c r="S19" s="28">
        <f t="shared" si="7"/>
        <v>0</v>
      </c>
      <c r="T19" s="28"/>
      <c r="U19" s="28">
        <f t="shared" si="1"/>
        <v>0</v>
      </c>
      <c r="V19" s="29">
        <f t="shared" si="2"/>
        <v>0</v>
      </c>
      <c r="W19" s="30"/>
      <c r="AM19" s="3" t="s">
        <v>54</v>
      </c>
      <c r="AN19" s="23" t="str">
        <v>X</v>
      </c>
      <c r="AO19" s="3" t="str">
        <v>X</v>
      </c>
    </row>
    <row r="20" spans="1:41" x14ac:dyDescent="0.25">
      <c r="A20" s="48"/>
      <c r="B20" s="110" t="s">
        <v>38</v>
      </c>
      <c r="C20" s="24" t="s">
        <v>33</v>
      </c>
      <c r="D20" s="24" t="s">
        <v>33</v>
      </c>
      <c r="E20" s="24" t="s">
        <v>33</v>
      </c>
      <c r="F20" s="24" t="s">
        <v>33</v>
      </c>
      <c r="G20" s="24" t="s">
        <v>33</v>
      </c>
      <c r="H20" s="24" t="s">
        <v>33</v>
      </c>
      <c r="I20" s="24" t="s">
        <v>33</v>
      </c>
      <c r="J20" s="24" t="s">
        <v>33</v>
      </c>
      <c r="K20" s="24" t="s">
        <v>33</v>
      </c>
      <c r="L20" s="24" t="s">
        <v>33</v>
      </c>
      <c r="N20" s="83"/>
      <c r="O20" s="3" t="s">
        <v>56</v>
      </c>
      <c r="P20" s="3" t="s">
        <v>32</v>
      </c>
      <c r="Q20" s="28">
        <f>Q19</f>
        <v>0</v>
      </c>
      <c r="R20" s="28">
        <f t="shared" si="7"/>
        <v>0</v>
      </c>
      <c r="S20" s="28">
        <f t="shared" si="7"/>
        <v>0</v>
      </c>
      <c r="T20" s="28"/>
      <c r="U20" s="28">
        <f t="shared" si="1"/>
        <v>0</v>
      </c>
      <c r="V20" s="29">
        <f t="shared" si="2"/>
        <v>0</v>
      </c>
      <c r="W20" s="30"/>
      <c r="AM20" s="3" t="s">
        <v>56</v>
      </c>
      <c r="AN20" s="23" t="str">
        <v>X</v>
      </c>
      <c r="AO20" s="3" t="str">
        <v>X</v>
      </c>
    </row>
    <row r="21" spans="1:41" x14ac:dyDescent="0.25">
      <c r="A21" s="48"/>
      <c r="B21" s="110"/>
      <c r="C21" s="3">
        <v>31</v>
      </c>
      <c r="D21" s="3">
        <v>32</v>
      </c>
      <c r="E21" s="3">
        <v>33</v>
      </c>
      <c r="F21" s="3">
        <v>34</v>
      </c>
      <c r="G21" s="3">
        <v>35</v>
      </c>
      <c r="H21" s="3">
        <v>36</v>
      </c>
      <c r="I21" s="3">
        <v>37</v>
      </c>
      <c r="J21" s="3">
        <v>38</v>
      </c>
      <c r="K21" s="3">
        <v>39</v>
      </c>
      <c r="L21" s="3">
        <v>40</v>
      </c>
      <c r="N21" s="83">
        <v>5</v>
      </c>
      <c r="O21" s="19" t="s">
        <v>57</v>
      </c>
      <c r="P21" s="19" t="s">
        <v>32</v>
      </c>
      <c r="Q21" s="20"/>
      <c r="R21" s="20"/>
      <c r="S21" s="20"/>
      <c r="T21" s="20"/>
      <c r="U21" s="20">
        <f t="shared" si="1"/>
        <v>0</v>
      </c>
      <c r="V21" s="21">
        <f t="shared" si="2"/>
        <v>0</v>
      </c>
      <c r="W21" s="22"/>
      <c r="AM21" s="3" t="s">
        <v>57</v>
      </c>
      <c r="AN21" s="23" t="str">
        <v>X</v>
      </c>
      <c r="AO21" s="3" t="str">
        <v>X</v>
      </c>
    </row>
    <row r="22" spans="1:41" x14ac:dyDescent="0.25">
      <c r="A22" s="48"/>
      <c r="B22" s="110"/>
      <c r="C22" s="24" t="s">
        <v>33</v>
      </c>
      <c r="D22" s="24" t="s">
        <v>33</v>
      </c>
      <c r="E22" s="24" t="s">
        <v>33</v>
      </c>
      <c r="F22" s="24" t="s">
        <v>33</v>
      </c>
      <c r="G22" s="24" t="s">
        <v>33</v>
      </c>
      <c r="H22" s="24" t="s">
        <v>33</v>
      </c>
      <c r="I22" s="24" t="s">
        <v>33</v>
      </c>
      <c r="J22" s="24" t="s">
        <v>33</v>
      </c>
      <c r="K22" s="24" t="s">
        <v>33</v>
      </c>
      <c r="L22" s="24" t="s">
        <v>33</v>
      </c>
      <c r="N22" s="83"/>
      <c r="O22" s="19" t="s">
        <v>60</v>
      </c>
      <c r="P22" s="19" t="s">
        <v>32</v>
      </c>
      <c r="Q22" s="20">
        <f t="shared" ref="Q22:S24" si="9">Q21</f>
        <v>0</v>
      </c>
      <c r="R22" s="20">
        <f t="shared" si="9"/>
        <v>0</v>
      </c>
      <c r="S22" s="20">
        <f t="shared" si="9"/>
        <v>0</v>
      </c>
      <c r="T22" s="20"/>
      <c r="U22" s="20">
        <f t="shared" si="1"/>
        <v>0</v>
      </c>
      <c r="V22" s="21">
        <f t="shared" si="2"/>
        <v>0</v>
      </c>
      <c r="W22" s="22"/>
      <c r="AM22" s="3" t="s">
        <v>60</v>
      </c>
      <c r="AN22" s="23" t="str">
        <v>X</v>
      </c>
      <c r="AO22" s="3" t="str">
        <v>X</v>
      </c>
    </row>
    <row r="23" spans="1:41" x14ac:dyDescent="0.25">
      <c r="C23" s="31" t="s">
        <v>42</v>
      </c>
      <c r="D23" s="31"/>
      <c r="E23" s="32">
        <f>H23+J23+L23</f>
        <v>0</v>
      </c>
      <c r="G23" s="32" t="s">
        <v>17</v>
      </c>
      <c r="H23" s="32">
        <f>COUNTIF(C16:L22,"*"&amp;G23&amp;"*")</f>
        <v>0</v>
      </c>
      <c r="I23" s="32" t="s">
        <v>18</v>
      </c>
      <c r="J23" s="32">
        <f>COUNTIF(C16:L22,"*"&amp;I23&amp;"*")</f>
        <v>0</v>
      </c>
      <c r="K23" s="32" t="s">
        <v>19</v>
      </c>
      <c r="L23" s="32">
        <f>COUNTIF(C16:L22,"*"&amp;K23&amp;"*")</f>
        <v>0</v>
      </c>
      <c r="N23" s="83"/>
      <c r="O23" s="19" t="s">
        <v>61</v>
      </c>
      <c r="P23" s="19" t="s">
        <v>32</v>
      </c>
      <c r="Q23" s="20">
        <f t="shared" si="9"/>
        <v>0</v>
      </c>
      <c r="R23" s="20">
        <f t="shared" si="9"/>
        <v>0</v>
      </c>
      <c r="S23" s="20">
        <f t="shared" si="9"/>
        <v>0</v>
      </c>
      <c r="T23" s="20"/>
      <c r="U23" s="20">
        <f t="shared" si="1"/>
        <v>0</v>
      </c>
      <c r="V23" s="21">
        <f t="shared" si="2"/>
        <v>0</v>
      </c>
      <c r="W23" s="22"/>
      <c r="AM23" s="3" t="s">
        <v>61</v>
      </c>
      <c r="AN23" s="23" t="str">
        <v>X</v>
      </c>
      <c r="AO23" s="3" t="str">
        <v>X</v>
      </c>
    </row>
    <row r="24" spans="1:41" x14ac:dyDescent="0.25">
      <c r="N24" s="83"/>
      <c r="O24" s="19" t="s">
        <v>62</v>
      </c>
      <c r="P24" s="19" t="s">
        <v>32</v>
      </c>
      <c r="Q24" s="20">
        <f t="shared" si="9"/>
        <v>0</v>
      </c>
      <c r="R24" s="20">
        <f t="shared" si="9"/>
        <v>0</v>
      </c>
      <c r="S24" s="20">
        <f t="shared" si="9"/>
        <v>0</v>
      </c>
      <c r="T24" s="20"/>
      <c r="U24" s="20">
        <f t="shared" si="1"/>
        <v>0</v>
      </c>
      <c r="V24" s="21">
        <f t="shared" si="2"/>
        <v>0</v>
      </c>
      <c r="W24" s="22"/>
      <c r="AM24" s="3" t="s">
        <v>62</v>
      </c>
      <c r="AN24" s="23" t="str">
        <v>X</v>
      </c>
      <c r="AO24" s="3" t="str">
        <v>X</v>
      </c>
    </row>
    <row r="25" spans="1:41" x14ac:dyDescent="0.25">
      <c r="C25" s="33" t="s">
        <v>45</v>
      </c>
      <c r="D25" s="34"/>
      <c r="E25" s="34" t="s">
        <v>46</v>
      </c>
      <c r="F25" s="84"/>
      <c r="G25" s="84"/>
      <c r="H25" s="35" t="s">
        <v>47</v>
      </c>
      <c r="I25" s="36" t="s">
        <v>48</v>
      </c>
      <c r="J25" s="37"/>
      <c r="K25" s="85"/>
      <c r="L25" s="86"/>
      <c r="N25" s="83">
        <v>6</v>
      </c>
      <c r="O25" s="3" t="s">
        <v>63</v>
      </c>
      <c r="P25" s="3" t="s">
        <v>32</v>
      </c>
      <c r="Q25" s="28"/>
      <c r="R25" s="28"/>
      <c r="S25" s="28"/>
      <c r="T25" s="28"/>
      <c r="U25" s="28">
        <f>T25-Q25</f>
        <v>0</v>
      </c>
      <c r="V25" s="29">
        <f t="shared" si="2"/>
        <v>0</v>
      </c>
      <c r="W25" s="30"/>
      <c r="AM25" s="3" t="s">
        <v>63</v>
      </c>
      <c r="AN25" s="23" t="str">
        <f t="array" ref="AN25:AN34">TRANSPOSE(C10:L10)</f>
        <v>X</v>
      </c>
      <c r="AO25" s="3" t="str">
        <f t="array" ref="AO25:AO34">TRANSPOSE(C20:L20)</f>
        <v>X</v>
      </c>
    </row>
    <row r="26" spans="1:41" x14ac:dyDescent="0.25">
      <c r="C26" s="38"/>
      <c r="D26" s="39"/>
      <c r="E26" s="39"/>
      <c r="F26" s="39"/>
      <c r="G26" s="39"/>
      <c r="H26" s="39"/>
      <c r="I26" s="40" t="s">
        <v>50</v>
      </c>
      <c r="J26" s="41"/>
      <c r="K26" s="87"/>
      <c r="L26" s="88"/>
      <c r="N26" s="83"/>
      <c r="O26" s="3" t="s">
        <v>64</v>
      </c>
      <c r="P26" s="3" t="s">
        <v>32</v>
      </c>
      <c r="Q26" s="28">
        <f>Q25</f>
        <v>0</v>
      </c>
      <c r="R26" s="28">
        <f t="shared" ref="R26:S26" si="10">R25</f>
        <v>0</v>
      </c>
      <c r="S26" s="28">
        <f t="shared" si="10"/>
        <v>0</v>
      </c>
      <c r="T26" s="28"/>
      <c r="U26" s="28">
        <f t="shared" ref="U26:U44" si="11">T26-Q26</f>
        <v>0</v>
      </c>
      <c r="V26" s="29">
        <f t="shared" si="2"/>
        <v>0</v>
      </c>
      <c r="W26" s="30"/>
      <c r="AM26" s="3" t="s">
        <v>64</v>
      </c>
      <c r="AN26" s="23" t="str">
        <v>X</v>
      </c>
      <c r="AO26" s="3" t="str">
        <v>X</v>
      </c>
    </row>
    <row r="27" spans="1:41" x14ac:dyDescent="0.25">
      <c r="C27" s="38"/>
      <c r="D27" s="39"/>
      <c r="E27" s="39"/>
      <c r="F27" s="39"/>
      <c r="G27" s="39"/>
      <c r="H27" s="39"/>
      <c r="I27" s="39"/>
      <c r="J27" s="39"/>
      <c r="K27" s="39"/>
      <c r="L27" s="42"/>
      <c r="N27" s="83"/>
      <c r="O27" s="3" t="s">
        <v>65</v>
      </c>
      <c r="P27" s="3" t="s">
        <v>32</v>
      </c>
      <c r="Q27" s="28">
        <f t="shared" ref="Q27:S28" si="12">Q26</f>
        <v>0</v>
      </c>
      <c r="R27" s="28">
        <f t="shared" si="12"/>
        <v>0</v>
      </c>
      <c r="S27" s="28">
        <f t="shared" si="12"/>
        <v>0</v>
      </c>
      <c r="T27" s="28"/>
      <c r="U27" s="28">
        <f t="shared" si="11"/>
        <v>0</v>
      </c>
      <c r="V27" s="29">
        <f t="shared" si="2"/>
        <v>0</v>
      </c>
      <c r="W27" s="30"/>
      <c r="AM27" s="3" t="s">
        <v>65</v>
      </c>
      <c r="AN27" s="23" t="str">
        <v>X</v>
      </c>
      <c r="AO27" s="3" t="str">
        <v>X</v>
      </c>
    </row>
    <row r="28" spans="1:41" ht="15" customHeight="1" x14ac:dyDescent="0.25">
      <c r="C28" s="43"/>
      <c r="D28" s="44"/>
      <c r="E28" s="44"/>
      <c r="F28" s="44"/>
      <c r="G28" s="44"/>
      <c r="H28" s="44"/>
      <c r="I28" s="44"/>
      <c r="J28" s="44"/>
      <c r="K28" s="44"/>
      <c r="L28" s="45"/>
      <c r="N28" s="83"/>
      <c r="O28" s="3" t="s">
        <v>66</v>
      </c>
      <c r="P28" s="3" t="s">
        <v>32</v>
      </c>
      <c r="Q28" s="28">
        <f>Q27</f>
        <v>0</v>
      </c>
      <c r="R28" s="28">
        <f t="shared" si="12"/>
        <v>0</v>
      </c>
      <c r="S28" s="28">
        <f t="shared" si="12"/>
        <v>0</v>
      </c>
      <c r="T28" s="28"/>
      <c r="U28" s="28">
        <f t="shared" si="11"/>
        <v>0</v>
      </c>
      <c r="V28" s="29">
        <f t="shared" si="2"/>
        <v>0</v>
      </c>
      <c r="W28" s="30"/>
      <c r="AM28" s="3" t="s">
        <v>66</v>
      </c>
      <c r="AN28" s="23" t="str">
        <v>X</v>
      </c>
      <c r="AO28" s="3" t="str">
        <v>X</v>
      </c>
    </row>
    <row r="29" spans="1:41" x14ac:dyDescent="0.25">
      <c r="C29" s="97" t="s">
        <v>83</v>
      </c>
      <c r="D29" s="97"/>
      <c r="E29" s="97"/>
      <c r="F29" s="97"/>
      <c r="G29" s="32" t="s">
        <v>17</v>
      </c>
      <c r="H29" s="32">
        <f>COUNTIFS($AN$5:$AN$44,"mt",$AO$5:$AO$44,"mt")</f>
        <v>0</v>
      </c>
      <c r="I29" s="32" t="s">
        <v>18</v>
      </c>
      <c r="J29" s="32">
        <f>E23-H29-L29</f>
        <v>0</v>
      </c>
      <c r="K29" s="32" t="s">
        <v>19</v>
      </c>
      <c r="L29" s="32">
        <f>COUNTIFS($AN$5:$AN$44,"wt",$AO$5:$AO$44,"wt")</f>
        <v>0</v>
      </c>
      <c r="N29" s="83">
        <v>7</v>
      </c>
      <c r="O29" s="19" t="s">
        <v>67</v>
      </c>
      <c r="P29" s="19" t="s">
        <v>32</v>
      </c>
      <c r="Q29" s="20"/>
      <c r="R29" s="20"/>
      <c r="S29" s="20"/>
      <c r="T29" s="20"/>
      <c r="U29" s="20">
        <f t="shared" si="11"/>
        <v>0</v>
      </c>
      <c r="V29" s="21">
        <f t="shared" si="2"/>
        <v>0</v>
      </c>
      <c r="W29" s="22"/>
      <c r="AM29" s="3" t="s">
        <v>67</v>
      </c>
      <c r="AN29" s="23" t="str">
        <v>X</v>
      </c>
      <c r="AO29" s="3" t="str">
        <v>X</v>
      </c>
    </row>
    <row r="30" spans="1:41" x14ac:dyDescent="0.25">
      <c r="N30" s="83"/>
      <c r="O30" s="19" t="s">
        <v>68</v>
      </c>
      <c r="P30" s="19" t="s">
        <v>32</v>
      </c>
      <c r="Q30" s="20">
        <f t="shared" ref="Q30:S32" si="13">Q29</f>
        <v>0</v>
      </c>
      <c r="R30" s="20">
        <f t="shared" si="13"/>
        <v>0</v>
      </c>
      <c r="S30" s="20">
        <f t="shared" si="13"/>
        <v>0</v>
      </c>
      <c r="T30" s="20"/>
      <c r="U30" s="20">
        <f t="shared" si="11"/>
        <v>0</v>
      </c>
      <c r="V30" s="21">
        <f t="shared" si="2"/>
        <v>0</v>
      </c>
      <c r="W30" s="22"/>
      <c r="AM30" s="3" t="s">
        <v>68</v>
      </c>
      <c r="AN30" s="23" t="str">
        <v>X</v>
      </c>
      <c r="AO30" s="3" t="str">
        <v>X</v>
      </c>
    </row>
    <row r="31" spans="1:41" x14ac:dyDescent="0.25">
      <c r="C31" s="97" t="s">
        <v>55</v>
      </c>
      <c r="D31" s="97"/>
      <c r="E31" s="97"/>
      <c r="F31" s="97"/>
      <c r="G31" s="32" t="s">
        <v>17</v>
      </c>
      <c r="H31" s="32"/>
      <c r="I31" s="32" t="s">
        <v>18</v>
      </c>
      <c r="J31" s="32"/>
      <c r="K31" s="32" t="s">
        <v>19</v>
      </c>
      <c r="L31" s="32"/>
      <c r="N31" s="83"/>
      <c r="O31" s="19" t="s">
        <v>69</v>
      </c>
      <c r="P31" s="19" t="s">
        <v>32</v>
      </c>
      <c r="Q31" s="20">
        <f t="shared" si="13"/>
        <v>0</v>
      </c>
      <c r="R31" s="20">
        <f t="shared" si="13"/>
        <v>0</v>
      </c>
      <c r="S31" s="20">
        <f t="shared" si="13"/>
        <v>0</v>
      </c>
      <c r="T31" s="20"/>
      <c r="U31" s="20">
        <f t="shared" si="11"/>
        <v>0</v>
      </c>
      <c r="V31" s="21">
        <f t="shared" si="2"/>
        <v>0</v>
      </c>
      <c r="W31" s="22"/>
      <c r="AM31" s="3" t="s">
        <v>69</v>
      </c>
      <c r="AN31" s="23" t="str">
        <v>X</v>
      </c>
      <c r="AO31" s="3" t="str">
        <v>X</v>
      </c>
    </row>
    <row r="32" spans="1:41" x14ac:dyDescent="0.25">
      <c r="N32" s="83"/>
      <c r="O32" s="19" t="s">
        <v>70</v>
      </c>
      <c r="P32" s="19" t="s">
        <v>32</v>
      </c>
      <c r="Q32" s="20">
        <f t="shared" si="13"/>
        <v>0</v>
      </c>
      <c r="R32" s="20">
        <f t="shared" si="13"/>
        <v>0</v>
      </c>
      <c r="S32" s="20">
        <f t="shared" si="13"/>
        <v>0</v>
      </c>
      <c r="T32" s="20"/>
      <c r="U32" s="20">
        <f t="shared" si="11"/>
        <v>0</v>
      </c>
      <c r="V32" s="21">
        <f t="shared" si="2"/>
        <v>0</v>
      </c>
      <c r="W32" s="22"/>
      <c r="AM32" s="3" t="s">
        <v>70</v>
      </c>
      <c r="AN32" s="23" t="str">
        <v>X</v>
      </c>
      <c r="AO32" s="3" t="str">
        <v>X</v>
      </c>
    </row>
    <row r="33" spans="3:41" x14ac:dyDescent="0.25">
      <c r="C33" s="97" t="s">
        <v>58</v>
      </c>
      <c r="D33" s="97"/>
      <c r="E33" s="97"/>
      <c r="F33" s="97"/>
      <c r="G33" s="98">
        <v>2.0833333333333332E-2</v>
      </c>
      <c r="H33" s="98"/>
      <c r="I33" s="3" t="s">
        <v>59</v>
      </c>
      <c r="N33" s="83">
        <v>8</v>
      </c>
      <c r="O33" s="3" t="s">
        <v>71</v>
      </c>
      <c r="P33" s="3" t="s">
        <v>32</v>
      </c>
      <c r="Q33" s="28"/>
      <c r="R33" s="28"/>
      <c r="S33" s="28"/>
      <c r="T33" s="28"/>
      <c r="U33" s="28">
        <f t="shared" si="11"/>
        <v>0</v>
      </c>
      <c r="V33" s="29">
        <f t="shared" si="2"/>
        <v>0</v>
      </c>
      <c r="W33" s="30"/>
      <c r="AM33" s="3" t="s">
        <v>71</v>
      </c>
      <c r="AN33" s="23" t="str">
        <v>X</v>
      </c>
      <c r="AO33" s="3" t="str">
        <v>X</v>
      </c>
    </row>
    <row r="34" spans="3:41" x14ac:dyDescent="0.25">
      <c r="N34" s="83"/>
      <c r="O34" s="3" t="s">
        <v>72</v>
      </c>
      <c r="P34" s="3" t="s">
        <v>32</v>
      </c>
      <c r="Q34" s="28">
        <f>Q33</f>
        <v>0</v>
      </c>
      <c r="R34" s="28">
        <f t="shared" ref="R34:S36" si="14">R33</f>
        <v>0</v>
      </c>
      <c r="S34" s="28">
        <f t="shared" si="14"/>
        <v>0</v>
      </c>
      <c r="T34" s="28"/>
      <c r="U34" s="28">
        <f t="shared" si="11"/>
        <v>0</v>
      </c>
      <c r="V34" s="29">
        <f t="shared" si="2"/>
        <v>0</v>
      </c>
      <c r="W34" s="30"/>
      <c r="AM34" s="3" t="s">
        <v>72</v>
      </c>
      <c r="AN34" s="23" t="str">
        <v>X</v>
      </c>
      <c r="AO34" s="3" t="str">
        <v>X</v>
      </c>
    </row>
    <row r="35" spans="3:41" x14ac:dyDescent="0.25">
      <c r="N35" s="83"/>
      <c r="O35" s="3" t="s">
        <v>73</v>
      </c>
      <c r="P35" s="3" t="s">
        <v>32</v>
      </c>
      <c r="Q35" s="28">
        <f t="shared" ref="Q35" si="15">Q34</f>
        <v>0</v>
      </c>
      <c r="R35" s="28">
        <f t="shared" si="14"/>
        <v>0</v>
      </c>
      <c r="S35" s="28">
        <f t="shared" si="14"/>
        <v>0</v>
      </c>
      <c r="T35" s="28"/>
      <c r="U35" s="28">
        <f t="shared" si="11"/>
        <v>0</v>
      </c>
      <c r="V35" s="29">
        <f t="shared" si="2"/>
        <v>0</v>
      </c>
      <c r="W35" s="30"/>
      <c r="AM35" s="3" t="s">
        <v>73</v>
      </c>
      <c r="AN35" s="23" t="str">
        <f t="array" ref="AN35:AN44">TRANSPOSE(C12:L12)</f>
        <v>X</v>
      </c>
      <c r="AO35" s="3" t="str">
        <f t="array" ref="AO35:AO44">TRANSPOSE(C22:L22)</f>
        <v>X</v>
      </c>
    </row>
    <row r="36" spans="3:41" x14ac:dyDescent="0.25">
      <c r="N36" s="83"/>
      <c r="O36" s="3" t="s">
        <v>74</v>
      </c>
      <c r="P36" s="3" t="s">
        <v>32</v>
      </c>
      <c r="Q36" s="28">
        <f>Q35</f>
        <v>0</v>
      </c>
      <c r="R36" s="28">
        <f t="shared" si="14"/>
        <v>0</v>
      </c>
      <c r="S36" s="28">
        <f t="shared" si="14"/>
        <v>0</v>
      </c>
      <c r="T36" s="28"/>
      <c r="U36" s="28">
        <f t="shared" si="11"/>
        <v>0</v>
      </c>
      <c r="V36" s="29">
        <f t="shared" si="2"/>
        <v>0</v>
      </c>
      <c r="W36" s="30"/>
      <c r="AM36" s="3" t="s">
        <v>74</v>
      </c>
      <c r="AN36" s="23" t="str">
        <v>X</v>
      </c>
      <c r="AO36" s="3" t="str">
        <v>X</v>
      </c>
    </row>
    <row r="37" spans="3:41" ht="15" customHeight="1" x14ac:dyDescent="0.25">
      <c r="N37" s="83">
        <v>9</v>
      </c>
      <c r="O37" s="19" t="s">
        <v>75</v>
      </c>
      <c r="P37" s="19" t="s">
        <v>32</v>
      </c>
      <c r="Q37" s="20"/>
      <c r="R37" s="20"/>
      <c r="S37" s="20"/>
      <c r="T37" s="20"/>
      <c r="U37" s="20">
        <f t="shared" si="11"/>
        <v>0</v>
      </c>
      <c r="V37" s="21">
        <f t="shared" si="2"/>
        <v>0</v>
      </c>
      <c r="W37" s="22"/>
      <c r="AM37" s="3" t="s">
        <v>75</v>
      </c>
      <c r="AN37" s="23" t="str">
        <v>X</v>
      </c>
      <c r="AO37" s="3" t="str">
        <v>X</v>
      </c>
    </row>
    <row r="38" spans="3:41" x14ac:dyDescent="0.25">
      <c r="N38" s="83"/>
      <c r="O38" s="19" t="s">
        <v>76</v>
      </c>
      <c r="P38" s="19" t="s">
        <v>32</v>
      </c>
      <c r="Q38" s="20">
        <f t="shared" ref="Q38:S40" si="16">Q37</f>
        <v>0</v>
      </c>
      <c r="R38" s="20">
        <f t="shared" si="16"/>
        <v>0</v>
      </c>
      <c r="S38" s="20">
        <f t="shared" si="16"/>
        <v>0</v>
      </c>
      <c r="T38" s="20"/>
      <c r="U38" s="20">
        <f t="shared" si="11"/>
        <v>0</v>
      </c>
      <c r="V38" s="21">
        <f t="shared" si="2"/>
        <v>0</v>
      </c>
      <c r="W38" s="22"/>
      <c r="AM38" s="3" t="s">
        <v>76</v>
      </c>
      <c r="AN38" s="23" t="str">
        <v>X</v>
      </c>
      <c r="AO38" s="3" t="str">
        <v>X</v>
      </c>
    </row>
    <row r="39" spans="3:41" x14ac:dyDescent="0.25">
      <c r="N39" s="83"/>
      <c r="O39" s="19" t="s">
        <v>77</v>
      </c>
      <c r="P39" s="19" t="s">
        <v>32</v>
      </c>
      <c r="Q39" s="20">
        <f t="shared" si="16"/>
        <v>0</v>
      </c>
      <c r="R39" s="20">
        <f t="shared" si="16"/>
        <v>0</v>
      </c>
      <c r="S39" s="20">
        <f t="shared" si="16"/>
        <v>0</v>
      </c>
      <c r="T39" s="20"/>
      <c r="U39" s="20">
        <f t="shared" si="11"/>
        <v>0</v>
      </c>
      <c r="V39" s="21">
        <f t="shared" si="2"/>
        <v>0</v>
      </c>
      <c r="W39" s="22"/>
      <c r="AM39" s="3" t="s">
        <v>77</v>
      </c>
      <c r="AN39" s="23" t="str">
        <v>X</v>
      </c>
      <c r="AO39" s="3" t="str">
        <v>X</v>
      </c>
    </row>
    <row r="40" spans="3:41" x14ac:dyDescent="0.25">
      <c r="N40" s="83"/>
      <c r="O40" s="19" t="s">
        <v>78</v>
      </c>
      <c r="P40" s="19" t="s">
        <v>32</v>
      </c>
      <c r="Q40" s="20">
        <f t="shared" si="16"/>
        <v>0</v>
      </c>
      <c r="R40" s="20">
        <f t="shared" si="16"/>
        <v>0</v>
      </c>
      <c r="S40" s="20">
        <f t="shared" si="16"/>
        <v>0</v>
      </c>
      <c r="T40" s="20"/>
      <c r="U40" s="20">
        <f t="shared" si="11"/>
        <v>0</v>
      </c>
      <c r="V40" s="21">
        <f t="shared" si="2"/>
        <v>0</v>
      </c>
      <c r="W40" s="22"/>
      <c r="AM40" s="3" t="s">
        <v>78</v>
      </c>
      <c r="AN40" s="23" t="str">
        <v>X</v>
      </c>
      <c r="AO40" s="3" t="str">
        <v>X</v>
      </c>
    </row>
    <row r="41" spans="3:41" x14ac:dyDescent="0.25">
      <c r="N41" s="83">
        <v>10</v>
      </c>
      <c r="O41" s="3" t="s">
        <v>79</v>
      </c>
      <c r="P41" s="3" t="s">
        <v>32</v>
      </c>
      <c r="Q41" s="28"/>
      <c r="R41" s="28"/>
      <c r="S41" s="28"/>
      <c r="T41" s="28"/>
      <c r="U41" s="28">
        <f t="shared" si="11"/>
        <v>0</v>
      </c>
      <c r="V41" s="29">
        <f t="shared" si="2"/>
        <v>0</v>
      </c>
      <c r="W41" s="30"/>
      <c r="AM41" s="3" t="s">
        <v>79</v>
      </c>
      <c r="AN41" s="23" t="str">
        <v>X</v>
      </c>
      <c r="AO41" s="3" t="str">
        <v>X</v>
      </c>
    </row>
    <row r="42" spans="3:41" x14ac:dyDescent="0.25">
      <c r="N42" s="83"/>
      <c r="O42" s="3" t="s">
        <v>80</v>
      </c>
      <c r="P42" s="3" t="s">
        <v>32</v>
      </c>
      <c r="Q42" s="28">
        <f t="shared" ref="Q42:S44" si="17">Q41</f>
        <v>0</v>
      </c>
      <c r="R42" s="28">
        <f t="shared" si="17"/>
        <v>0</v>
      </c>
      <c r="S42" s="28">
        <f t="shared" si="17"/>
        <v>0</v>
      </c>
      <c r="T42" s="28"/>
      <c r="U42" s="28">
        <f t="shared" si="11"/>
        <v>0</v>
      </c>
      <c r="V42" s="29">
        <f t="shared" si="2"/>
        <v>0</v>
      </c>
      <c r="W42" s="30"/>
      <c r="AM42" s="3" t="s">
        <v>80</v>
      </c>
      <c r="AN42" s="23" t="str">
        <v>X</v>
      </c>
      <c r="AO42" s="3" t="str">
        <v>X</v>
      </c>
    </row>
    <row r="43" spans="3:41" x14ac:dyDescent="0.25">
      <c r="N43" s="83"/>
      <c r="O43" s="3" t="s">
        <v>81</v>
      </c>
      <c r="P43" s="3" t="s">
        <v>32</v>
      </c>
      <c r="Q43" s="28">
        <f t="shared" si="17"/>
        <v>0</v>
      </c>
      <c r="R43" s="28">
        <f t="shared" si="17"/>
        <v>0</v>
      </c>
      <c r="S43" s="28">
        <f t="shared" si="17"/>
        <v>0</v>
      </c>
      <c r="T43" s="28"/>
      <c r="U43" s="28">
        <f t="shared" si="11"/>
        <v>0</v>
      </c>
      <c r="V43" s="29">
        <f t="shared" si="2"/>
        <v>0</v>
      </c>
      <c r="W43" s="30"/>
      <c r="AM43" s="3" t="s">
        <v>81</v>
      </c>
      <c r="AN43" s="23" t="str">
        <v>X</v>
      </c>
      <c r="AO43" s="3" t="str">
        <v>X</v>
      </c>
    </row>
    <row r="44" spans="3:41" x14ac:dyDescent="0.25">
      <c r="N44" s="83"/>
      <c r="O44" s="3" t="s">
        <v>82</v>
      </c>
      <c r="P44" s="3" t="s">
        <v>32</v>
      </c>
      <c r="Q44" s="28">
        <f t="shared" si="17"/>
        <v>0</v>
      </c>
      <c r="R44" s="28">
        <f t="shared" si="17"/>
        <v>0</v>
      </c>
      <c r="S44" s="28">
        <f t="shared" si="17"/>
        <v>0</v>
      </c>
      <c r="T44" s="28"/>
      <c r="U44" s="28">
        <f t="shared" si="11"/>
        <v>0</v>
      </c>
      <c r="V44" s="29">
        <f t="shared" si="2"/>
        <v>0</v>
      </c>
      <c r="W44" s="30"/>
      <c r="AM44" s="3" t="s">
        <v>82</v>
      </c>
      <c r="AN44" s="23" t="str">
        <v>X</v>
      </c>
      <c r="AO44" s="3" t="str">
        <v>X</v>
      </c>
    </row>
    <row r="45" spans="3:41" x14ac:dyDescent="0.25">
      <c r="N45" s="47"/>
      <c r="O45" s="47"/>
      <c r="P45" s="47"/>
      <c r="Q45" s="47"/>
      <c r="R45" s="47"/>
      <c r="S45" s="47"/>
      <c r="T45" s="47"/>
      <c r="U45" s="47"/>
      <c r="V45" s="47"/>
      <c r="W45" s="47"/>
    </row>
    <row r="46" spans="3:41" x14ac:dyDescent="0.25">
      <c r="N46" s="47"/>
      <c r="O46" s="47"/>
      <c r="P46" s="47"/>
      <c r="Q46" s="47"/>
      <c r="R46" s="47"/>
      <c r="S46" s="47"/>
      <c r="T46" s="47"/>
      <c r="U46" s="47"/>
      <c r="V46" s="47"/>
      <c r="W46" s="47"/>
    </row>
    <row r="47" spans="3:41" x14ac:dyDescent="0.25">
      <c r="N47" s="47"/>
      <c r="O47" s="47"/>
      <c r="P47" s="47"/>
      <c r="Q47" s="47"/>
      <c r="R47" s="47"/>
      <c r="S47" s="47"/>
      <c r="T47" s="47"/>
      <c r="U47" s="47"/>
      <c r="V47" s="47"/>
      <c r="W47" s="47"/>
    </row>
    <row r="48" spans="3:41" x14ac:dyDescent="0.25">
      <c r="N48" s="47"/>
      <c r="O48" s="47"/>
      <c r="P48" s="47"/>
      <c r="Q48" s="47"/>
      <c r="R48" s="47"/>
      <c r="S48" s="47"/>
      <c r="T48" s="47"/>
      <c r="U48" s="47"/>
      <c r="V48" s="47"/>
      <c r="W48" s="47"/>
    </row>
    <row r="49" spans="14:23" x14ac:dyDescent="0.25">
      <c r="N49" s="47"/>
      <c r="O49" s="47"/>
      <c r="P49" s="47"/>
      <c r="Q49" s="47"/>
      <c r="R49" s="47"/>
      <c r="S49" s="47"/>
      <c r="T49" s="47"/>
      <c r="U49" s="47"/>
      <c r="V49" s="47"/>
      <c r="W49" s="47"/>
    </row>
    <row r="50" spans="14:23" x14ac:dyDescent="0.25">
      <c r="N50" s="47"/>
      <c r="O50" s="47"/>
      <c r="P50" s="47"/>
      <c r="Q50" s="47"/>
      <c r="R50" s="47"/>
      <c r="S50" s="47"/>
      <c r="T50" s="47"/>
      <c r="U50" s="47"/>
      <c r="V50" s="47"/>
      <c r="W50" s="47"/>
    </row>
    <row r="51" spans="14:23" x14ac:dyDescent="0.25">
      <c r="N51" s="47"/>
      <c r="O51" s="47"/>
      <c r="P51" s="47"/>
      <c r="Q51" s="47"/>
      <c r="R51" s="47"/>
      <c r="S51" s="47"/>
      <c r="T51" s="47"/>
      <c r="U51" s="47"/>
      <c r="V51" s="47"/>
      <c r="W51" s="47"/>
    </row>
    <row r="52" spans="14:23" x14ac:dyDescent="0.25">
      <c r="N52" s="47"/>
      <c r="O52" s="47"/>
      <c r="P52" s="47"/>
      <c r="Q52" s="47"/>
      <c r="R52" s="47"/>
      <c r="S52" s="47"/>
      <c r="T52" s="47"/>
      <c r="U52" s="47"/>
      <c r="V52" s="47"/>
      <c r="W52" s="47"/>
    </row>
    <row r="53" spans="14:23" x14ac:dyDescent="0.25">
      <c r="N53" s="47"/>
      <c r="O53" s="47"/>
      <c r="P53" s="47"/>
      <c r="Q53" s="47"/>
      <c r="R53" s="47"/>
      <c r="S53" s="47"/>
      <c r="T53" s="47"/>
      <c r="U53" s="47"/>
      <c r="V53" s="47"/>
      <c r="W53" s="47"/>
    </row>
    <row r="54" spans="14:23" x14ac:dyDescent="0.25">
      <c r="N54" s="47"/>
      <c r="O54" s="47"/>
      <c r="P54" s="47"/>
      <c r="Q54" s="47"/>
      <c r="R54" s="47"/>
      <c r="S54" s="47"/>
      <c r="T54" s="47"/>
      <c r="U54" s="47"/>
      <c r="V54" s="47"/>
      <c r="W54" s="47"/>
    </row>
    <row r="55" spans="14:23" x14ac:dyDescent="0.25">
      <c r="N55" s="47"/>
      <c r="O55" s="47"/>
      <c r="P55" s="47"/>
      <c r="Q55" s="47"/>
      <c r="R55" s="47"/>
      <c r="S55" s="47"/>
      <c r="T55" s="47"/>
      <c r="U55" s="47"/>
      <c r="V55" s="47"/>
      <c r="W55" s="47"/>
    </row>
    <row r="56" spans="14:23" x14ac:dyDescent="0.25">
      <c r="N56" s="47"/>
      <c r="O56" s="47"/>
      <c r="P56" s="47"/>
      <c r="Q56" s="47"/>
      <c r="R56" s="47"/>
      <c r="S56" s="47"/>
      <c r="T56" s="47"/>
      <c r="U56" s="47"/>
      <c r="V56" s="47"/>
      <c r="W56" s="47"/>
    </row>
  </sheetData>
  <mergeCells count="33">
    <mergeCell ref="AI2:AK2"/>
    <mergeCell ref="K3:L3"/>
    <mergeCell ref="O3:O4"/>
    <mergeCell ref="P3:P4"/>
    <mergeCell ref="Q3:T3"/>
    <mergeCell ref="U3:U4"/>
    <mergeCell ref="V3:V4"/>
    <mergeCell ref="W3:W4"/>
    <mergeCell ref="B6:B9"/>
    <mergeCell ref="N9:N12"/>
    <mergeCell ref="B10:B12"/>
    <mergeCell ref="Q1:R1"/>
    <mergeCell ref="U1:V1"/>
    <mergeCell ref="F25:G25"/>
    <mergeCell ref="K25:L25"/>
    <mergeCell ref="N25:N28"/>
    <mergeCell ref="K26:L26"/>
    <mergeCell ref="C4:H4"/>
    <mergeCell ref="K4:L4"/>
    <mergeCell ref="N5:N8"/>
    <mergeCell ref="N13:N16"/>
    <mergeCell ref="B16:B19"/>
    <mergeCell ref="N17:N20"/>
    <mergeCell ref="B20:B22"/>
    <mergeCell ref="N21:N24"/>
    <mergeCell ref="N37:N40"/>
    <mergeCell ref="N41:N44"/>
    <mergeCell ref="C29:F29"/>
    <mergeCell ref="N29:N32"/>
    <mergeCell ref="C31:F31"/>
    <mergeCell ref="C33:F33"/>
    <mergeCell ref="G33:H33"/>
    <mergeCell ref="N33:N36"/>
  </mergeCells>
  <conditionalFormatting sqref="C3 E3 B2:M2 A86:M1048576 A75:A85 A62:M74 M31:M33 A3:A5 M47:M48 N57:N1048576 AI9:AL1048576 AI1:AL1 A32:B32 A47:L47 AL2:AL8 M3:M16 X1:X14 X16:X1048576 U2 O1:P1 O2 B15 C30:L30 G33 A13:A15 AO45:XFD1048576 AO1:XFD3 AP4:XFD44 AO5:AO44">
    <cfRule type="containsText" dxfId="762" priority="519" operator="containsText" text="ht">
      <formula>NOT(ISERROR(SEARCH("ht",A1)))</formula>
    </cfRule>
    <cfRule type="containsText" dxfId="761" priority="520" operator="containsText" text="mt">
      <formula>NOT(ISERROR(SEARCH("mt",A1)))</formula>
    </cfRule>
    <cfRule type="containsText" dxfId="760" priority="521" operator="containsText" text="wt">
      <formula>NOT(ISERROR(SEARCH("wt",A1)))</formula>
    </cfRule>
  </conditionalFormatting>
  <conditionalFormatting sqref="B5 F13:J13 B13:B14">
    <cfRule type="containsText" dxfId="759" priority="516" operator="containsText" text="ht">
      <formula>NOT(ISERROR(SEARCH("ht",B5)))</formula>
    </cfRule>
    <cfRule type="containsText" dxfId="758" priority="517" operator="containsText" text="mt">
      <formula>NOT(ISERROR(SEARCH("mt",B5)))</formula>
    </cfRule>
    <cfRule type="containsText" dxfId="757" priority="518" operator="containsText" text="wt">
      <formula>NOT(ISERROR(SEARCH("wt",B5)))</formula>
    </cfRule>
  </conditionalFormatting>
  <conditionalFormatting sqref="C13 E13">
    <cfRule type="containsText" dxfId="756" priority="513" operator="containsText" text="ht">
      <formula>NOT(ISERROR(SEARCH("ht",C13)))</formula>
    </cfRule>
    <cfRule type="containsText" dxfId="755" priority="514" operator="containsText" text="mt">
      <formula>NOT(ISERROR(SEARCH("mt",C13)))</formula>
    </cfRule>
    <cfRule type="containsText" dxfId="754" priority="515" operator="containsText" text="wt">
      <formula>NOT(ISERROR(SEARCH("wt",C13)))</formula>
    </cfRule>
  </conditionalFormatting>
  <conditionalFormatting sqref="B3 J4">
    <cfRule type="containsText" dxfId="753" priority="510" operator="containsText" text="ht">
      <formula>NOT(ISERROR(SEARCH("ht",B3)))</formula>
    </cfRule>
    <cfRule type="containsText" dxfId="752" priority="511" operator="containsText" text="mt">
      <formula>NOT(ISERROR(SEARCH("mt",B3)))</formula>
    </cfRule>
    <cfRule type="containsText" dxfId="751" priority="512" operator="containsText" text="wt">
      <formula>NOT(ISERROR(SEARCH("wt",B3)))</formula>
    </cfRule>
  </conditionalFormatting>
  <conditionalFormatting sqref="B4">
    <cfRule type="containsText" dxfId="750" priority="507" operator="containsText" text="ht">
      <formula>NOT(ISERROR(SEARCH("ht",B4)))</formula>
    </cfRule>
    <cfRule type="containsText" dxfId="749" priority="508" operator="containsText" text="mt">
      <formula>NOT(ISERROR(SEARCH("mt",B4)))</formula>
    </cfRule>
    <cfRule type="containsText" dxfId="748" priority="509" operator="containsText" text="wt">
      <formula>NOT(ISERROR(SEARCH("wt",B4)))</formula>
    </cfRule>
  </conditionalFormatting>
  <conditionalFormatting sqref="K4">
    <cfRule type="cellIs" dxfId="747" priority="493" operator="equal">
      <formula>61</formula>
    </cfRule>
    <cfRule type="cellIs" dxfId="746" priority="494" operator="equal">
      <formula>63</formula>
    </cfRule>
    <cfRule type="cellIs" dxfId="745" priority="495" operator="equal">
      <formula>21</formula>
    </cfRule>
    <cfRule type="cellIs" dxfId="744" priority="496" operator="equal">
      <formula>120</formula>
    </cfRule>
    <cfRule type="cellIs" dxfId="743" priority="497" operator="equal">
      <formula>96</formula>
    </cfRule>
    <cfRule type="cellIs" dxfId="742" priority="498" operator="equal">
      <formula>72</formula>
    </cfRule>
    <cfRule type="cellIs" dxfId="741" priority="499" operator="equal">
      <formula>55</formula>
    </cfRule>
    <cfRule type="cellIs" dxfId="740" priority="500" operator="equal">
      <formula>50</formula>
    </cfRule>
    <cfRule type="cellIs" dxfId="739" priority="501" operator="equal">
      <formula>48</formula>
    </cfRule>
    <cfRule type="cellIs" dxfId="738" priority="502" operator="equal">
      <formula>30</formula>
    </cfRule>
    <cfRule type="cellIs" dxfId="737" priority="503" operator="equal">
      <formula>26</formula>
    </cfRule>
    <cfRule type="cellIs" dxfId="736" priority="504" operator="equal">
      <formula>24</formula>
    </cfRule>
    <cfRule type="cellIs" dxfId="735" priority="505" operator="equal">
      <formula>18</formula>
    </cfRule>
    <cfRule type="cellIs" dxfId="734" priority="506" operator="equal">
      <formula>6</formula>
    </cfRule>
  </conditionalFormatting>
  <conditionalFormatting sqref="C3 K4">
    <cfRule type="containsBlanks" dxfId="733" priority="492">
      <formula>LEN(TRIM(C3))=0</formula>
    </cfRule>
  </conditionalFormatting>
  <conditionalFormatting sqref="A2">
    <cfRule type="containsText" dxfId="732" priority="489" operator="containsText" text="ht">
      <formula>NOT(ISERROR(SEARCH("ht",A2)))</formula>
    </cfRule>
    <cfRule type="containsText" dxfId="731" priority="490" operator="containsText" text="mt">
      <formula>NOT(ISERROR(SEARCH("mt",A2)))</formula>
    </cfRule>
    <cfRule type="containsText" dxfId="730" priority="491" operator="containsText" text="wt">
      <formula>NOT(ISERROR(SEARCH("wt",A2)))</formula>
    </cfRule>
  </conditionalFormatting>
  <conditionalFormatting sqref="K13:L13">
    <cfRule type="containsText" dxfId="729" priority="486" operator="containsText" text="ht">
      <formula>NOT(ISERROR(SEARCH("ht",K13)))</formula>
    </cfRule>
    <cfRule type="containsText" dxfId="728" priority="487" operator="containsText" text="mt">
      <formula>NOT(ISERROR(SEARCH("mt",K13)))</formula>
    </cfRule>
    <cfRule type="containsText" dxfId="727" priority="488" operator="containsText" text="wt">
      <formula>NOT(ISERROR(SEARCH("wt",K13)))</formula>
    </cfRule>
  </conditionalFormatting>
  <conditionalFormatting sqref="M19:M30">
    <cfRule type="containsText" dxfId="726" priority="483" operator="containsText" text="ht">
      <formula>NOT(ISERROR(SEARCH("ht",M19)))</formula>
    </cfRule>
    <cfRule type="containsText" dxfId="725" priority="484" operator="containsText" text="mt">
      <formula>NOT(ISERROR(SEARCH("mt",M19)))</formula>
    </cfRule>
    <cfRule type="containsText" dxfId="724" priority="485" operator="containsText" text="wt">
      <formula>NOT(ISERROR(SEARCH("wt",M19)))</formula>
    </cfRule>
  </conditionalFormatting>
  <conditionalFormatting sqref="M35:M46">
    <cfRule type="containsText" dxfId="723" priority="480" operator="containsText" text="ht">
      <formula>NOT(ISERROR(SEARCH("ht",M35)))</formula>
    </cfRule>
    <cfRule type="containsText" dxfId="722" priority="481" operator="containsText" text="mt">
      <formula>NOT(ISERROR(SEARCH("mt",M35)))</formula>
    </cfRule>
    <cfRule type="containsText" dxfId="721" priority="482" operator="containsText" text="wt">
      <formula>NOT(ISERROR(SEARCH("wt",M35)))</formula>
    </cfRule>
  </conditionalFormatting>
  <conditionalFormatting sqref="M50:M61">
    <cfRule type="containsText" dxfId="720" priority="477" operator="containsText" text="ht">
      <formula>NOT(ISERROR(SEARCH("ht",M50)))</formula>
    </cfRule>
    <cfRule type="containsText" dxfId="719" priority="478" operator="containsText" text="mt">
      <formula>NOT(ISERROR(SEARCH("mt",M50)))</formula>
    </cfRule>
    <cfRule type="containsText" dxfId="718" priority="479" operator="containsText" text="wt">
      <formula>NOT(ISERROR(SEARCH("wt",M50)))</formula>
    </cfRule>
  </conditionalFormatting>
  <conditionalFormatting sqref="J3">
    <cfRule type="containsText" dxfId="717" priority="474" operator="containsText" text="ht">
      <formula>NOT(ISERROR(SEARCH("ht",J3)))</formula>
    </cfRule>
    <cfRule type="containsText" dxfId="716" priority="475" operator="containsText" text="mt">
      <formula>NOT(ISERROR(SEARCH("mt",J3)))</formula>
    </cfRule>
    <cfRule type="containsText" dxfId="715" priority="476" operator="containsText" text="wt">
      <formula>NOT(ISERROR(SEARCH("wt",J3)))</formula>
    </cfRule>
  </conditionalFormatting>
  <conditionalFormatting sqref="A1">
    <cfRule type="containsText" dxfId="714" priority="471" operator="containsText" text="ht">
      <formula>NOT(ISERROR(SEARCH("ht",A1)))</formula>
    </cfRule>
    <cfRule type="containsText" dxfId="713" priority="472" operator="containsText" text="mt">
      <formula>NOT(ISERROR(SEARCH("mt",A1)))</formula>
    </cfRule>
    <cfRule type="containsText" dxfId="712" priority="473" operator="containsText" text="wt">
      <formula>NOT(ISERROR(SEARCH("wt",A1)))</formula>
    </cfRule>
  </conditionalFormatting>
  <conditionalFormatting sqref="A1">
    <cfRule type="containsBlanks" dxfId="711" priority="470">
      <formula>LEN(TRIM(A1))=0</formula>
    </cfRule>
  </conditionalFormatting>
  <conditionalFormatting sqref="M18">
    <cfRule type="containsText" dxfId="710" priority="467" operator="containsText" text="ht">
      <formula>NOT(ISERROR(SEARCH("ht",M18)))</formula>
    </cfRule>
    <cfRule type="containsText" dxfId="709" priority="468" operator="containsText" text="mt">
      <formula>NOT(ISERROR(SEARCH("mt",M18)))</formula>
    </cfRule>
    <cfRule type="containsText" dxfId="708" priority="469" operator="containsText" text="wt">
      <formula>NOT(ISERROR(SEARCH("wt",M18)))</formula>
    </cfRule>
  </conditionalFormatting>
  <conditionalFormatting sqref="M34">
    <cfRule type="containsText" dxfId="707" priority="464" operator="containsText" text="ht">
      <formula>NOT(ISERROR(SEARCH("ht",M34)))</formula>
    </cfRule>
    <cfRule type="containsText" dxfId="706" priority="465" operator="containsText" text="mt">
      <formula>NOT(ISERROR(SEARCH("mt",M34)))</formula>
    </cfRule>
    <cfRule type="containsText" dxfId="705" priority="466" operator="containsText" text="wt">
      <formula>NOT(ISERROR(SEARCH("wt",M34)))</formula>
    </cfRule>
  </conditionalFormatting>
  <conditionalFormatting sqref="M49">
    <cfRule type="containsText" dxfId="704" priority="461" operator="containsText" text="ht">
      <formula>NOT(ISERROR(SEARCH("ht",M49)))</formula>
    </cfRule>
    <cfRule type="containsText" dxfId="703" priority="462" operator="containsText" text="mt">
      <formula>NOT(ISERROR(SEARCH("mt",M49)))</formula>
    </cfRule>
    <cfRule type="containsText" dxfId="702" priority="463" operator="containsText" text="wt">
      <formula>NOT(ISERROR(SEARCH("wt",M49)))</formula>
    </cfRule>
  </conditionalFormatting>
  <conditionalFormatting sqref="K3">
    <cfRule type="containsText" dxfId="701" priority="458" operator="containsText" text="ht">
      <formula>NOT(ISERROR(SEARCH("ht",K3)))</formula>
    </cfRule>
    <cfRule type="containsText" dxfId="700" priority="459" operator="containsText" text="mt">
      <formula>NOT(ISERROR(SEARCH("mt",K3)))</formula>
    </cfRule>
    <cfRule type="containsText" dxfId="699" priority="460" operator="containsText" text="wt">
      <formula>NOT(ISERROR(SEARCH("wt",K3)))</formula>
    </cfRule>
  </conditionalFormatting>
  <conditionalFormatting sqref="K3">
    <cfRule type="containsBlanks" dxfId="698" priority="457">
      <formula>LEN(TRIM(K3))=0</formula>
    </cfRule>
  </conditionalFormatting>
  <conditionalFormatting sqref="C10:L10">
    <cfRule type="containsText" dxfId="697" priority="443" operator="containsText" text="ht">
      <formula>NOT(ISERROR(SEARCH("ht",C10)))</formula>
    </cfRule>
    <cfRule type="containsText" dxfId="696" priority="444" operator="containsText" text="mt">
      <formula>NOT(ISERROR(SEARCH("mt",C10)))</formula>
    </cfRule>
    <cfRule type="containsText" dxfId="695" priority="445" operator="containsText" text="wt">
      <formula>NOT(ISERROR(SEARCH("wt",C10)))</formula>
    </cfRule>
  </conditionalFormatting>
  <conditionalFormatting sqref="C5:L5 C7:L7 C9:L9">
    <cfRule type="containsText" dxfId="694" priority="454" operator="containsText" text="ht">
      <formula>NOT(ISERROR(SEARCH("ht",C5)))</formula>
    </cfRule>
    <cfRule type="containsText" dxfId="693" priority="455" operator="containsText" text="mt">
      <formula>NOT(ISERROR(SEARCH("mt",C5)))</formula>
    </cfRule>
    <cfRule type="containsText" dxfId="692" priority="456" operator="containsText" text="wt">
      <formula>NOT(ISERROR(SEARCH("wt",C5)))</formula>
    </cfRule>
  </conditionalFormatting>
  <conditionalFormatting sqref="C6:L6">
    <cfRule type="containsText" dxfId="691" priority="451" operator="containsText" text="ht">
      <formula>NOT(ISERROR(SEARCH("ht",C6)))</formula>
    </cfRule>
    <cfRule type="containsText" dxfId="690" priority="452" operator="containsText" text="mt">
      <formula>NOT(ISERROR(SEARCH("mt",C6)))</formula>
    </cfRule>
    <cfRule type="containsText" dxfId="689" priority="453" operator="containsText" text="wt">
      <formula>NOT(ISERROR(SEARCH("wt",C6)))</formula>
    </cfRule>
  </conditionalFormatting>
  <conditionalFormatting sqref="C6:L6">
    <cfRule type="cellIs" dxfId="688" priority="450" operator="equal">
      <formula>"?"</formula>
    </cfRule>
  </conditionalFormatting>
  <conditionalFormatting sqref="C8:L8">
    <cfRule type="containsText" dxfId="687" priority="447" operator="containsText" text="ht">
      <formula>NOT(ISERROR(SEARCH("ht",C8)))</formula>
    </cfRule>
    <cfRule type="containsText" dxfId="686" priority="448" operator="containsText" text="mt">
      <formula>NOT(ISERROR(SEARCH("mt",C8)))</formula>
    </cfRule>
    <cfRule type="containsText" dxfId="685" priority="449" operator="containsText" text="wt">
      <formula>NOT(ISERROR(SEARCH("wt",C8)))</formula>
    </cfRule>
  </conditionalFormatting>
  <conditionalFormatting sqref="C8:L8">
    <cfRule type="cellIs" dxfId="684" priority="446" operator="equal">
      <formula>"?"</formula>
    </cfRule>
  </conditionalFormatting>
  <conditionalFormatting sqref="C10:L10">
    <cfRule type="cellIs" dxfId="683" priority="442" operator="equal">
      <formula>"?"</formula>
    </cfRule>
  </conditionalFormatting>
  <conditionalFormatting sqref="N9 N1:N5 N17 N25 N33 N13 N21 N29 N41">
    <cfRule type="containsText" dxfId="682" priority="439" operator="containsText" text="ht">
      <formula>NOT(ISERROR(SEARCH("ht",N1)))</formula>
    </cfRule>
    <cfRule type="containsText" dxfId="681" priority="440" operator="containsText" text="mt">
      <formula>NOT(ISERROR(SEARCH("mt",N1)))</formula>
    </cfRule>
    <cfRule type="containsText" dxfId="680" priority="441" operator="containsText" text="wt">
      <formula>NOT(ISERROR(SEARCH("wt",N1)))</formula>
    </cfRule>
  </conditionalFormatting>
  <conditionalFormatting sqref="AF3">
    <cfRule type="containsText" dxfId="679" priority="423" operator="containsText" text="ht">
      <formula>NOT(ISERROR(SEARCH("ht",AF3)))</formula>
    </cfRule>
    <cfRule type="containsText" dxfId="678" priority="424" operator="containsText" text="mt">
      <formula>NOT(ISERROR(SEARCH("mt",AF3)))</formula>
    </cfRule>
    <cfRule type="containsText" dxfId="677" priority="425" operator="containsText" text="wt">
      <formula>NOT(ISERROR(SEARCH("wt",AF3)))</formula>
    </cfRule>
  </conditionalFormatting>
  <conditionalFormatting sqref="AA4">
    <cfRule type="cellIs" dxfId="676" priority="386" operator="equal">
      <formula>61</formula>
    </cfRule>
    <cfRule type="cellIs" dxfId="675" priority="387" operator="equal">
      <formula>63</formula>
    </cfRule>
    <cfRule type="cellIs" dxfId="674" priority="388" operator="equal">
      <formula>21</formula>
    </cfRule>
    <cfRule type="cellIs" dxfId="673" priority="389" operator="equal">
      <formula>120</formula>
    </cfRule>
    <cfRule type="cellIs" dxfId="672" priority="390" operator="equal">
      <formula>96</formula>
    </cfRule>
    <cfRule type="cellIs" dxfId="671" priority="391" operator="equal">
      <formula>72</formula>
    </cfRule>
    <cfRule type="cellIs" dxfId="670" priority="392" operator="equal">
      <formula>55</formula>
    </cfRule>
    <cfRule type="cellIs" dxfId="669" priority="393" operator="equal">
      <formula>50</formula>
    </cfRule>
    <cfRule type="cellIs" dxfId="668" priority="394" operator="equal">
      <formula>48</formula>
    </cfRule>
    <cfRule type="cellIs" dxfId="667" priority="395" operator="equal">
      <formula>30</formula>
    </cfRule>
    <cfRule type="cellIs" dxfId="666" priority="396" operator="equal">
      <formula>26</formula>
    </cfRule>
    <cfRule type="cellIs" dxfId="665" priority="397" operator="equal">
      <formula>24</formula>
    </cfRule>
    <cfRule type="cellIs" dxfId="664" priority="398" operator="equal">
      <formula>18</formula>
    </cfRule>
    <cfRule type="cellIs" dxfId="663" priority="399" operator="equal">
      <formula>6</formula>
    </cfRule>
  </conditionalFormatting>
  <conditionalFormatting sqref="Y1:AA2 Y14:AA1048576 Y9:Z13 AC9:AG1048576 AC1:AG2">
    <cfRule type="containsText" dxfId="662" priority="436" operator="containsText" text="ht">
      <formula>NOT(ISERROR(SEARCH("ht",Y1)))</formula>
    </cfRule>
    <cfRule type="containsText" dxfId="661" priority="437" operator="containsText" text="mt">
      <formula>NOT(ISERROR(SEARCH("mt",Y1)))</formula>
    </cfRule>
    <cfRule type="containsText" dxfId="660" priority="438" operator="containsText" text="wt">
      <formula>NOT(ISERROR(SEARCH("wt",Y1)))</formula>
    </cfRule>
  </conditionalFormatting>
  <conditionalFormatting sqref="Y4 AC4:AG4">
    <cfRule type="containsText" dxfId="659" priority="433" operator="containsText" text="ht">
      <formula>NOT(ISERROR(SEARCH("ht",Y4)))</formula>
    </cfRule>
    <cfRule type="containsText" dxfId="658" priority="434" operator="containsText" text="mt">
      <formula>NOT(ISERROR(SEARCH("mt",Y4)))</formula>
    </cfRule>
    <cfRule type="containsText" dxfId="657" priority="435" operator="containsText" text="wt">
      <formula>NOT(ISERROR(SEARCH("wt",Y4)))</formula>
    </cfRule>
  </conditionalFormatting>
  <conditionalFormatting sqref="AE3:AG3">
    <cfRule type="containsText" dxfId="656" priority="430" operator="containsText" text="ht">
      <formula>NOT(ISERROR(SEARCH("ht",AE3)))</formula>
    </cfRule>
    <cfRule type="containsText" dxfId="655" priority="431" operator="containsText" text="mt">
      <formula>NOT(ISERROR(SEARCH("mt",AE3)))</formula>
    </cfRule>
    <cfRule type="containsText" dxfId="654" priority="432" operator="containsText" text="wt">
      <formula>NOT(ISERROR(SEARCH("wt",AE3)))</formula>
    </cfRule>
  </conditionalFormatting>
  <conditionalFormatting sqref="AE3:AG3">
    <cfRule type="cellIs" dxfId="653" priority="429" operator="equal">
      <formula>"?"</formula>
    </cfRule>
  </conditionalFormatting>
  <conditionalFormatting sqref="AE3">
    <cfRule type="containsText" dxfId="652" priority="426" operator="containsText" text="ht">
      <formula>NOT(ISERROR(SEARCH("ht",AE3)))</formula>
    </cfRule>
    <cfRule type="containsText" dxfId="651" priority="427" operator="containsText" text="mt">
      <formula>NOT(ISERROR(SEARCH("mt",AE3)))</formula>
    </cfRule>
    <cfRule type="containsText" dxfId="650" priority="428" operator="containsText" text="wt">
      <formula>NOT(ISERROR(SEARCH("wt",AE3)))</formula>
    </cfRule>
  </conditionalFormatting>
  <conditionalFormatting sqref="AG3">
    <cfRule type="containsText" dxfId="649" priority="420" operator="containsText" text="ht">
      <formula>NOT(ISERROR(SEARCH("ht",AG3)))</formula>
    </cfRule>
    <cfRule type="containsText" dxfId="648" priority="421" operator="containsText" text="mt">
      <formula>NOT(ISERROR(SEARCH("mt",AG3)))</formula>
    </cfRule>
    <cfRule type="containsText" dxfId="647" priority="422" operator="containsText" text="wt">
      <formula>NOT(ISERROR(SEARCH("wt",AG3)))</formula>
    </cfRule>
  </conditionalFormatting>
  <conditionalFormatting sqref="AD3">
    <cfRule type="containsText" dxfId="646" priority="417" operator="containsText" text="ht">
      <formula>NOT(ISERROR(SEARCH("ht",AD3)))</formula>
    </cfRule>
    <cfRule type="containsText" dxfId="645" priority="418" operator="containsText" text="mt">
      <formula>NOT(ISERROR(SEARCH("mt",AD3)))</formula>
    </cfRule>
    <cfRule type="containsText" dxfId="644" priority="419" operator="containsText" text="wt">
      <formula>NOT(ISERROR(SEARCH("wt",AD3)))</formula>
    </cfRule>
  </conditionalFormatting>
  <conditionalFormatting sqref="AD3">
    <cfRule type="cellIs" dxfId="643" priority="416" operator="equal">
      <formula>"?"</formula>
    </cfRule>
  </conditionalFormatting>
  <conditionalFormatting sqref="Z3">
    <cfRule type="containsText" dxfId="642" priority="413" operator="containsText" text="ht">
      <formula>NOT(ISERROR(SEARCH("ht",Z3)))</formula>
    </cfRule>
    <cfRule type="containsText" dxfId="641" priority="414" operator="containsText" text="mt">
      <formula>NOT(ISERROR(SEARCH("mt",Z3)))</formula>
    </cfRule>
    <cfRule type="containsText" dxfId="640" priority="415" operator="containsText" text="wt">
      <formula>NOT(ISERROR(SEARCH("wt",Z3)))</formula>
    </cfRule>
  </conditionalFormatting>
  <conditionalFormatting sqref="Z3">
    <cfRule type="cellIs" dxfId="639" priority="412" operator="equal">
      <formula>"?"</formula>
    </cfRule>
  </conditionalFormatting>
  <conditionalFormatting sqref="AA3">
    <cfRule type="containsText" dxfId="638" priority="409" operator="containsText" text="ht">
      <formula>NOT(ISERROR(SEARCH("ht",AA3)))</formula>
    </cfRule>
    <cfRule type="containsText" dxfId="637" priority="410" operator="containsText" text="mt">
      <formula>NOT(ISERROR(SEARCH("mt",AA3)))</formula>
    </cfRule>
    <cfRule type="containsText" dxfId="636" priority="411" operator="containsText" text="wt">
      <formula>NOT(ISERROR(SEARCH("wt",AA3)))</formula>
    </cfRule>
  </conditionalFormatting>
  <conditionalFormatting sqref="AA3">
    <cfRule type="cellIs" dxfId="635" priority="408" operator="equal">
      <formula>"?"</formula>
    </cfRule>
  </conditionalFormatting>
  <conditionalFormatting sqref="AC3">
    <cfRule type="containsText" dxfId="634" priority="405" operator="containsText" text="ht">
      <formula>NOT(ISERROR(SEARCH("ht",AC3)))</formula>
    </cfRule>
    <cfRule type="containsText" dxfId="633" priority="406" operator="containsText" text="mt">
      <formula>NOT(ISERROR(SEARCH("mt",AC3)))</formula>
    </cfRule>
    <cfRule type="containsText" dxfId="632" priority="407" operator="containsText" text="wt">
      <formula>NOT(ISERROR(SEARCH("wt",AC3)))</formula>
    </cfRule>
  </conditionalFormatting>
  <conditionalFormatting sqref="AC3">
    <cfRule type="cellIs" dxfId="631" priority="404" operator="equal">
      <formula>"?"</formula>
    </cfRule>
  </conditionalFormatting>
  <conditionalFormatting sqref="Y3">
    <cfRule type="containsText" dxfId="630" priority="401" operator="containsText" text="ht">
      <formula>NOT(ISERROR(SEARCH("ht",Y3)))</formula>
    </cfRule>
    <cfRule type="containsText" dxfId="629" priority="402" operator="containsText" text="mt">
      <formula>NOT(ISERROR(SEARCH("mt",Y3)))</formula>
    </cfRule>
    <cfRule type="containsText" dxfId="628" priority="403" operator="containsText" text="wt">
      <formula>NOT(ISERROR(SEARCH("wt",Y3)))</formula>
    </cfRule>
  </conditionalFormatting>
  <conditionalFormatting sqref="Y3">
    <cfRule type="cellIs" dxfId="627" priority="400" operator="equal">
      <formula>"?"</formula>
    </cfRule>
  </conditionalFormatting>
  <conditionalFormatting sqref="AH17 AH27:AH1048576">
    <cfRule type="containsText" dxfId="626" priority="383" operator="containsText" text="ht">
      <formula>NOT(ISERROR(SEARCH("ht",AH17)))</formula>
    </cfRule>
    <cfRule type="containsText" dxfId="625" priority="384" operator="containsText" text="mt">
      <formula>NOT(ISERROR(SEARCH("mt",AH17)))</formula>
    </cfRule>
    <cfRule type="containsText" dxfId="624" priority="385" operator="containsText" text="wt">
      <formula>NOT(ISERROR(SEARCH("wt",AH17)))</formula>
    </cfRule>
  </conditionalFormatting>
  <conditionalFormatting sqref="AH9:AH16">
    <cfRule type="containsText" dxfId="623" priority="380" operator="containsText" text="ht">
      <formula>NOT(ISERROR(SEARCH("ht",AH9)))</formula>
    </cfRule>
    <cfRule type="containsText" dxfId="622" priority="381" operator="containsText" text="mt">
      <formula>NOT(ISERROR(SEARCH("mt",AH9)))</formula>
    </cfRule>
    <cfRule type="containsText" dxfId="621" priority="382" operator="containsText" text="wt">
      <formula>NOT(ISERROR(SEARCH("wt",AH9)))</formula>
    </cfRule>
  </conditionalFormatting>
  <conditionalFormatting sqref="AH3">
    <cfRule type="cellIs" dxfId="620" priority="376" operator="equal">
      <formula>"?"</formula>
    </cfRule>
  </conditionalFormatting>
  <conditionalFormatting sqref="AH3">
    <cfRule type="containsText" dxfId="619" priority="377" operator="containsText" text="ht">
      <formula>NOT(ISERROR(SEARCH("ht",AH3)))</formula>
    </cfRule>
    <cfRule type="containsText" dxfId="618" priority="378" operator="containsText" text="mt">
      <formula>NOT(ISERROR(SEARCH("mt",AH3)))</formula>
    </cfRule>
    <cfRule type="containsText" dxfId="617" priority="379" operator="containsText" text="wt">
      <formula>NOT(ISERROR(SEARCH("wt",AH3)))</formula>
    </cfRule>
  </conditionalFormatting>
  <conditionalFormatting sqref="AH1:AH3 AH9:AH1048576">
    <cfRule type="containsText" dxfId="616" priority="374" operator="containsText" text="YES">
      <formula>NOT(ISERROR(SEARCH("YES",AH1)))</formula>
    </cfRule>
    <cfRule type="containsText" dxfId="615" priority="375" operator="containsText" text="NO">
      <formula>NOT(ISERROR(SEARCH("NO",AH1)))</formula>
    </cfRule>
  </conditionalFormatting>
  <conditionalFormatting sqref="AH4">
    <cfRule type="containsText" dxfId="614" priority="371" operator="containsText" text="ht">
      <formula>NOT(ISERROR(SEARCH("ht",AH4)))</formula>
    </cfRule>
    <cfRule type="containsText" dxfId="613" priority="372" operator="containsText" text="mt">
      <formula>NOT(ISERROR(SEARCH("mt",AH4)))</formula>
    </cfRule>
    <cfRule type="containsText" dxfId="612" priority="373" operator="containsText" text="wt">
      <formula>NOT(ISERROR(SEARCH("wt",AH4)))</formula>
    </cfRule>
  </conditionalFormatting>
  <conditionalFormatting sqref="AH4">
    <cfRule type="containsText" dxfId="611" priority="369" operator="containsText" text="YES">
      <formula>NOT(ISERROR(SEARCH("YES",AH4)))</formula>
    </cfRule>
    <cfRule type="containsText" dxfId="610" priority="370" operator="containsText" text="NO">
      <formula>NOT(ISERROR(SEARCH("NO",AH4)))</formula>
    </cfRule>
  </conditionalFormatting>
  <conditionalFormatting sqref="AH4">
    <cfRule type="containsText" dxfId="609" priority="368" operator="containsText" text="YES?">
      <formula>NOT(ISERROR(SEARCH("YES?",AH4)))</formula>
    </cfRule>
  </conditionalFormatting>
  <conditionalFormatting sqref="Q13:T16">
    <cfRule type="containsText" dxfId="608" priority="323" operator="containsText" text="ht">
      <formula>NOT(ISERROR(SEARCH("ht",Q13)))</formula>
    </cfRule>
    <cfRule type="containsText" dxfId="607" priority="324" operator="containsText" text="mt">
      <formula>NOT(ISERROR(SEARCH("mt",Q13)))</formula>
    </cfRule>
    <cfRule type="containsText" dxfId="606" priority="325" operator="containsText" text="wt">
      <formula>NOT(ISERROR(SEARCH("wt",Q13)))</formula>
    </cfRule>
  </conditionalFormatting>
  <conditionalFormatting sqref="A24:L24 A23:B23 A25:B30">
    <cfRule type="containsText" dxfId="605" priority="365" operator="containsText" text="ht">
      <formula>NOT(ISERROR(SEARCH("ht",A23)))</formula>
    </cfRule>
    <cfRule type="containsText" dxfId="604" priority="366" operator="containsText" text="mt">
      <formula>NOT(ISERROR(SEARCH("mt",A23)))</formula>
    </cfRule>
    <cfRule type="containsText" dxfId="603" priority="367" operator="containsText" text="wt">
      <formula>NOT(ISERROR(SEARCH("wt",A23)))</formula>
    </cfRule>
  </conditionalFormatting>
  <conditionalFormatting sqref="A39:L45 A33:B38">
    <cfRule type="containsText" dxfId="602" priority="362" operator="containsText" text="ht">
      <formula>NOT(ISERROR(SEARCH("ht",A33)))</formula>
    </cfRule>
    <cfRule type="containsText" dxfId="601" priority="363" operator="containsText" text="mt">
      <formula>NOT(ISERROR(SEARCH("mt",A33)))</formula>
    </cfRule>
    <cfRule type="containsText" dxfId="600" priority="364" operator="containsText" text="wt">
      <formula>NOT(ISERROR(SEARCH("wt",A33)))</formula>
    </cfRule>
  </conditionalFormatting>
  <conditionalFormatting sqref="A48:L60">
    <cfRule type="containsText" dxfId="599" priority="359" operator="containsText" text="ht">
      <formula>NOT(ISERROR(SEARCH("ht",A48)))</formula>
    </cfRule>
    <cfRule type="containsText" dxfId="598" priority="360" operator="containsText" text="mt">
      <formula>NOT(ISERROR(SEARCH("mt",A48)))</formula>
    </cfRule>
    <cfRule type="containsText" dxfId="597" priority="361" operator="containsText" text="wt">
      <formula>NOT(ISERROR(SEARCH("wt",A48)))</formula>
    </cfRule>
  </conditionalFormatting>
  <conditionalFormatting sqref="G31:J31">
    <cfRule type="containsText" dxfId="596" priority="356" operator="containsText" text="ht">
      <formula>NOT(ISERROR(SEARCH("ht",G31)))</formula>
    </cfRule>
    <cfRule type="containsText" dxfId="595" priority="357" operator="containsText" text="mt">
      <formula>NOT(ISERROR(SEARCH("mt",G31)))</formula>
    </cfRule>
    <cfRule type="containsText" dxfId="594" priority="358" operator="containsText" text="wt">
      <formula>NOT(ISERROR(SEARCH("wt",G31)))</formula>
    </cfRule>
  </conditionalFormatting>
  <conditionalFormatting sqref="K31:L31">
    <cfRule type="containsText" dxfId="593" priority="353" operator="containsText" text="ht">
      <formula>NOT(ISERROR(SEARCH("ht",K31)))</formula>
    </cfRule>
    <cfRule type="containsText" dxfId="592" priority="354" operator="containsText" text="mt">
      <formula>NOT(ISERROR(SEARCH("mt",K31)))</formula>
    </cfRule>
    <cfRule type="containsText" dxfId="591" priority="355" operator="containsText" text="wt">
      <formula>NOT(ISERROR(SEARCH("wt",K31)))</formula>
    </cfRule>
  </conditionalFormatting>
  <conditionalFormatting sqref="AI2">
    <cfRule type="containsText" dxfId="590" priority="350" operator="containsText" text="ht">
      <formula>NOT(ISERROR(SEARCH("ht",AI2)))</formula>
    </cfRule>
    <cfRule type="containsText" dxfId="589" priority="351" operator="containsText" text="mt">
      <formula>NOT(ISERROR(SEARCH("mt",AI2)))</formula>
    </cfRule>
    <cfRule type="containsText" dxfId="588" priority="352" operator="containsText" text="wt">
      <formula>NOT(ISERROR(SEARCH("wt",AI2)))</formula>
    </cfRule>
  </conditionalFormatting>
  <conditionalFormatting sqref="AI2">
    <cfRule type="cellIs" dxfId="587" priority="349" operator="equal">
      <formula>"?"</formula>
    </cfRule>
  </conditionalFormatting>
  <conditionalFormatting sqref="AI3">
    <cfRule type="containsText" dxfId="586" priority="346" operator="containsText" text="ht">
      <formula>NOT(ISERROR(SEARCH("ht",AI3)))</formula>
    </cfRule>
    <cfRule type="containsText" dxfId="585" priority="347" operator="containsText" text="mt">
      <formula>NOT(ISERROR(SEARCH("mt",AI3)))</formula>
    </cfRule>
    <cfRule type="containsText" dxfId="584" priority="348" operator="containsText" text="wt">
      <formula>NOT(ISERROR(SEARCH("wt",AI3)))</formula>
    </cfRule>
  </conditionalFormatting>
  <conditionalFormatting sqref="AI3">
    <cfRule type="cellIs" dxfId="583" priority="345" operator="equal">
      <formula>"?"</formula>
    </cfRule>
  </conditionalFormatting>
  <conditionalFormatting sqref="AJ3:AK3">
    <cfRule type="containsText" dxfId="582" priority="342" operator="containsText" text="ht">
      <formula>NOT(ISERROR(SEARCH("ht",AJ3)))</formula>
    </cfRule>
    <cfRule type="containsText" dxfId="581" priority="343" operator="containsText" text="mt">
      <formula>NOT(ISERROR(SEARCH("mt",AJ3)))</formula>
    </cfRule>
    <cfRule type="containsText" dxfId="580" priority="344" operator="containsText" text="wt">
      <formula>NOT(ISERROR(SEARCH("wt",AJ3)))</formula>
    </cfRule>
  </conditionalFormatting>
  <conditionalFormatting sqref="AJ3:AK3">
    <cfRule type="cellIs" dxfId="579" priority="341" operator="equal">
      <formula>"?"</formula>
    </cfRule>
  </conditionalFormatting>
  <conditionalFormatting sqref="AJ3">
    <cfRule type="containsText" dxfId="578" priority="338" operator="containsText" text="ht">
      <formula>NOT(ISERROR(SEARCH("ht",AJ3)))</formula>
    </cfRule>
    <cfRule type="containsText" dxfId="577" priority="339" operator="containsText" text="mt">
      <formula>NOT(ISERROR(SEARCH("mt",AJ3)))</formula>
    </cfRule>
    <cfRule type="containsText" dxfId="576" priority="340" operator="containsText" text="wt">
      <formula>NOT(ISERROR(SEARCH("wt",AJ3)))</formula>
    </cfRule>
  </conditionalFormatting>
  <conditionalFormatting sqref="AK3">
    <cfRule type="containsText" dxfId="575" priority="335" operator="containsText" text="ht">
      <formula>NOT(ISERROR(SEARCH("ht",AK3)))</formula>
    </cfRule>
    <cfRule type="containsText" dxfId="574" priority="336" operator="containsText" text="mt">
      <formula>NOT(ISERROR(SEARCH("mt",AK3)))</formula>
    </cfRule>
    <cfRule type="containsText" dxfId="573" priority="337" operator="containsText" text="wt">
      <formula>NOT(ISERROR(SEARCH("wt",AK3)))</formula>
    </cfRule>
  </conditionalFormatting>
  <conditionalFormatting sqref="O57:T57 O59:T1048576 O58:R58">
    <cfRule type="containsText" dxfId="572" priority="332" operator="containsText" text="ht">
      <formula>NOT(ISERROR(SEARCH("ht",O57)))</formula>
    </cfRule>
    <cfRule type="containsText" dxfId="571" priority="333" operator="containsText" text="mt">
      <formula>NOT(ISERROR(SEARCH("mt",O57)))</formula>
    </cfRule>
    <cfRule type="containsText" dxfId="570" priority="334" operator="containsText" text="wt">
      <formula>NOT(ISERROR(SEARCH("wt",O57)))</formula>
    </cfRule>
  </conditionalFormatting>
  <conditionalFormatting sqref="O3:Q3 R4:T4 S2:T2">
    <cfRule type="containsText" dxfId="569" priority="329" operator="containsText" text="ht">
      <formula>NOT(ISERROR(SEARCH("ht",O2)))</formula>
    </cfRule>
    <cfRule type="containsText" dxfId="568" priority="330" operator="containsText" text="mt">
      <formula>NOT(ISERROR(SEARCH("mt",O2)))</formula>
    </cfRule>
    <cfRule type="containsText" dxfId="567" priority="331" operator="containsText" text="wt">
      <formula>NOT(ISERROR(SEARCH("wt",O2)))</formula>
    </cfRule>
  </conditionalFormatting>
  <conditionalFormatting sqref="O5:T12 P13:P16 O13:O36 O41:O44">
    <cfRule type="containsText" dxfId="566" priority="326" operator="containsText" text="ht">
      <formula>NOT(ISERROR(SEARCH("ht",O5)))</formula>
    </cfRule>
    <cfRule type="containsText" dxfId="565" priority="327" operator="containsText" text="mt">
      <formula>NOT(ISERROR(SEARCH("mt",O5)))</formula>
    </cfRule>
    <cfRule type="containsText" dxfId="564" priority="328" operator="containsText" text="wt">
      <formula>NOT(ISERROR(SEARCH("wt",O5)))</formula>
    </cfRule>
  </conditionalFormatting>
  <conditionalFormatting sqref="U57 U59:U1048576">
    <cfRule type="containsText" dxfId="563" priority="320" operator="containsText" text="ht">
      <formula>NOT(ISERROR(SEARCH("ht",U57)))</formula>
    </cfRule>
    <cfRule type="containsText" dxfId="562" priority="321" operator="containsText" text="mt">
      <formula>NOT(ISERROR(SEARCH("mt",U57)))</formula>
    </cfRule>
    <cfRule type="containsText" dxfId="561" priority="322" operator="containsText" text="wt">
      <formula>NOT(ISERROR(SEARCH("wt",U57)))</formula>
    </cfRule>
  </conditionalFormatting>
  <conditionalFormatting sqref="U5:U16">
    <cfRule type="containsText" dxfId="560" priority="317" operator="containsText" text="ht">
      <formula>NOT(ISERROR(SEARCH("ht",U5)))</formula>
    </cfRule>
    <cfRule type="containsText" dxfId="559" priority="318" operator="containsText" text="mt">
      <formula>NOT(ISERROR(SEARCH("mt",U5)))</formula>
    </cfRule>
    <cfRule type="containsText" dxfId="558" priority="319" operator="containsText" text="wt">
      <formula>NOT(ISERROR(SEARCH("wt",U5)))</formula>
    </cfRule>
  </conditionalFormatting>
  <conditionalFormatting sqref="G33">
    <cfRule type="cellIs" dxfId="557" priority="316" operator="greaterThan">
      <formula>0.03125</formula>
    </cfRule>
  </conditionalFormatting>
  <conditionalFormatting sqref="AM1 AM5:AM1048576">
    <cfRule type="containsText" dxfId="556" priority="313" operator="containsText" text="ht">
      <formula>NOT(ISERROR(SEARCH("ht",AM1)))</formula>
    </cfRule>
    <cfRule type="containsText" dxfId="555" priority="314" operator="containsText" text="mt">
      <formula>NOT(ISERROR(SEARCH("mt",AM1)))</formula>
    </cfRule>
    <cfRule type="containsText" dxfId="554" priority="315" operator="containsText" text="wt">
      <formula>NOT(ISERROR(SEARCH("wt",AM1)))</formula>
    </cfRule>
  </conditionalFormatting>
  <conditionalFormatting sqref="AM1 AM5:AM1048576">
    <cfRule type="cellIs" dxfId="553" priority="312" operator="equal">
      <formula>"?"</formula>
    </cfRule>
  </conditionalFormatting>
  <conditionalFormatting sqref="AN109:AN1048576 AN1">
    <cfRule type="containsText" dxfId="552" priority="309" operator="containsText" text="ht">
      <formula>NOT(ISERROR(SEARCH("ht",AN1)))</formula>
    </cfRule>
    <cfRule type="containsText" dxfId="551" priority="310" operator="containsText" text="mt">
      <formula>NOT(ISERROR(SEARCH("mt",AN1)))</formula>
    </cfRule>
    <cfRule type="containsText" dxfId="550" priority="311" operator="containsText" text="wt">
      <formula>NOT(ISERROR(SEARCH("wt",AN1)))</formula>
    </cfRule>
  </conditionalFormatting>
  <conditionalFormatting sqref="AN109:AN1048576 AN1">
    <cfRule type="cellIs" dxfId="549" priority="308" operator="equal">
      <formula>"?"</formula>
    </cfRule>
  </conditionalFormatting>
  <conditionalFormatting sqref="AN3">
    <cfRule type="containsText" dxfId="548" priority="305" operator="containsText" text="ht">
      <formula>NOT(ISERROR(SEARCH("ht",AN3)))</formula>
    </cfRule>
    <cfRule type="containsText" dxfId="547" priority="306" operator="containsText" text="mt">
      <formula>NOT(ISERROR(SEARCH("mt",AN3)))</formula>
    </cfRule>
    <cfRule type="containsText" dxfId="546" priority="307" operator="containsText" text="wt">
      <formula>NOT(ISERROR(SEARCH("wt",AN3)))</formula>
    </cfRule>
  </conditionalFormatting>
  <conditionalFormatting sqref="AN3">
    <cfRule type="cellIs" dxfId="545" priority="304" operator="equal">
      <formula>"?"</formula>
    </cfRule>
  </conditionalFormatting>
  <conditionalFormatting sqref="AB3">
    <cfRule type="cellIs" dxfId="544" priority="300" operator="equal">
      <formula>"?"</formula>
    </cfRule>
  </conditionalFormatting>
  <conditionalFormatting sqref="AB4">
    <cfRule type="cellIs" dxfId="543" priority="286" operator="equal">
      <formula>61</formula>
    </cfRule>
    <cfRule type="cellIs" dxfId="542" priority="287" operator="equal">
      <formula>63</formula>
    </cfRule>
    <cfRule type="cellIs" dxfId="541" priority="288" operator="equal">
      <formula>21</formula>
    </cfRule>
    <cfRule type="cellIs" dxfId="540" priority="289" operator="equal">
      <formula>120</formula>
    </cfRule>
    <cfRule type="cellIs" dxfId="539" priority="290" operator="equal">
      <formula>96</formula>
    </cfRule>
    <cfRule type="cellIs" dxfId="538" priority="291" operator="equal">
      <formula>72</formula>
    </cfRule>
    <cfRule type="cellIs" dxfId="537" priority="292" operator="equal">
      <formula>55</formula>
    </cfRule>
    <cfRule type="cellIs" dxfId="536" priority="293" operator="equal">
      <formula>50</formula>
    </cfRule>
    <cfRule type="cellIs" dxfId="535" priority="294" operator="equal">
      <formula>48</formula>
    </cfRule>
    <cfRule type="cellIs" dxfId="534" priority="295" operator="equal">
      <formula>30</formula>
    </cfRule>
    <cfRule type="cellIs" dxfId="533" priority="296" operator="equal">
      <formula>26</formula>
    </cfRule>
    <cfRule type="cellIs" dxfId="532" priority="297" operator="equal">
      <formula>24</formula>
    </cfRule>
    <cfRule type="cellIs" dxfId="531" priority="298" operator="equal">
      <formula>18</formula>
    </cfRule>
    <cfRule type="cellIs" dxfId="530" priority="299" operator="equal">
      <formula>6</formula>
    </cfRule>
  </conditionalFormatting>
  <conditionalFormatting sqref="AN5:AN12">
    <cfRule type="containsText" dxfId="529" priority="283" operator="containsText" text="ht">
      <formula>NOT(ISERROR(SEARCH("ht",AN5)))</formula>
    </cfRule>
    <cfRule type="containsText" dxfId="528" priority="284" operator="containsText" text="mt">
      <formula>NOT(ISERROR(SEARCH("mt",AN5)))</formula>
    </cfRule>
    <cfRule type="containsText" dxfId="527" priority="285" operator="containsText" text="wt">
      <formula>NOT(ISERROR(SEARCH("wt",AN5)))</formula>
    </cfRule>
  </conditionalFormatting>
  <conditionalFormatting sqref="AN5:AN12">
    <cfRule type="cellIs" dxfId="526" priority="282" operator="equal">
      <formula>"?"</formula>
    </cfRule>
  </conditionalFormatting>
  <conditionalFormatting sqref="AN13:AN34">
    <cfRule type="containsText" dxfId="525" priority="279" operator="containsText" text="ht">
      <formula>NOT(ISERROR(SEARCH("ht",AN13)))</formula>
    </cfRule>
    <cfRule type="containsText" dxfId="524" priority="280" operator="containsText" text="mt">
      <formula>NOT(ISERROR(SEARCH("mt",AN13)))</formula>
    </cfRule>
    <cfRule type="containsText" dxfId="523" priority="281" operator="containsText" text="wt">
      <formula>NOT(ISERROR(SEARCH("wt",AN13)))</formula>
    </cfRule>
  </conditionalFormatting>
  <conditionalFormatting sqref="AN13:AN34">
    <cfRule type="cellIs" dxfId="522" priority="278" operator="equal">
      <formula>"?"</formula>
    </cfRule>
  </conditionalFormatting>
  <conditionalFormatting sqref="AI4:AK4">
    <cfRule type="containsText" dxfId="521" priority="275" operator="containsText" text="ht">
      <formula>NOT(ISERROR(SEARCH("ht",AI4)))</formula>
    </cfRule>
    <cfRule type="containsText" dxfId="520" priority="276" operator="containsText" text="mt">
      <formula>NOT(ISERROR(SEARCH("mt",AI4)))</formula>
    </cfRule>
    <cfRule type="containsText" dxfId="519" priority="277" operator="containsText" text="wt">
      <formula>NOT(ISERROR(SEARCH("wt",AI4)))</formula>
    </cfRule>
  </conditionalFormatting>
  <conditionalFormatting sqref="T21:T24">
    <cfRule type="containsText" dxfId="518" priority="269" operator="containsText" text="ht">
      <formula>NOT(ISERROR(SEARCH("ht",T21)))</formula>
    </cfRule>
    <cfRule type="containsText" dxfId="517" priority="270" operator="containsText" text="mt">
      <formula>NOT(ISERROR(SEARCH("mt",T21)))</formula>
    </cfRule>
    <cfRule type="containsText" dxfId="516" priority="271" operator="containsText" text="wt">
      <formula>NOT(ISERROR(SEARCH("wt",T21)))</formula>
    </cfRule>
  </conditionalFormatting>
  <conditionalFormatting sqref="P17:T20 P21:P24">
    <cfRule type="containsText" dxfId="515" priority="272" operator="containsText" text="ht">
      <formula>NOT(ISERROR(SEARCH("ht",P17)))</formula>
    </cfRule>
    <cfRule type="containsText" dxfId="514" priority="273" operator="containsText" text="mt">
      <formula>NOT(ISERROR(SEARCH("mt",P17)))</formula>
    </cfRule>
    <cfRule type="containsText" dxfId="513" priority="274" operator="containsText" text="wt">
      <formula>NOT(ISERROR(SEARCH("wt",P17)))</formula>
    </cfRule>
  </conditionalFormatting>
  <conditionalFormatting sqref="U17:U24">
    <cfRule type="containsText" dxfId="512" priority="266" operator="containsText" text="ht">
      <formula>NOT(ISERROR(SEARCH("ht",U17)))</formula>
    </cfRule>
    <cfRule type="containsText" dxfId="511" priority="267" operator="containsText" text="mt">
      <formula>NOT(ISERROR(SEARCH("mt",U17)))</formula>
    </cfRule>
    <cfRule type="containsText" dxfId="510" priority="268" operator="containsText" text="wt">
      <formula>NOT(ISERROR(SEARCH("wt",U17)))</formula>
    </cfRule>
  </conditionalFormatting>
  <conditionalFormatting sqref="T29:T32">
    <cfRule type="containsText" dxfId="509" priority="260" operator="containsText" text="ht">
      <formula>NOT(ISERROR(SEARCH("ht",T29)))</formula>
    </cfRule>
    <cfRule type="containsText" dxfId="508" priority="261" operator="containsText" text="mt">
      <formula>NOT(ISERROR(SEARCH("mt",T29)))</formula>
    </cfRule>
    <cfRule type="containsText" dxfId="507" priority="262" operator="containsText" text="wt">
      <formula>NOT(ISERROR(SEARCH("wt",T29)))</formula>
    </cfRule>
  </conditionalFormatting>
  <conditionalFormatting sqref="P25:P32 T25:T28">
    <cfRule type="containsText" dxfId="506" priority="263" operator="containsText" text="ht">
      <formula>NOT(ISERROR(SEARCH("ht",P25)))</formula>
    </cfRule>
    <cfRule type="containsText" dxfId="505" priority="264" operator="containsText" text="mt">
      <formula>NOT(ISERROR(SEARCH("mt",P25)))</formula>
    </cfRule>
    <cfRule type="containsText" dxfId="504" priority="265" operator="containsText" text="wt">
      <formula>NOT(ISERROR(SEARCH("wt",P25)))</formula>
    </cfRule>
  </conditionalFormatting>
  <conditionalFormatting sqref="U25:U32">
    <cfRule type="containsText" dxfId="503" priority="257" operator="containsText" text="ht">
      <formula>NOT(ISERROR(SEARCH("ht",U25)))</formula>
    </cfRule>
    <cfRule type="containsText" dxfId="502" priority="258" operator="containsText" text="mt">
      <formula>NOT(ISERROR(SEARCH("mt",U25)))</formula>
    </cfRule>
    <cfRule type="containsText" dxfId="501" priority="259" operator="containsText" text="wt">
      <formula>NOT(ISERROR(SEARCH("wt",U25)))</formula>
    </cfRule>
  </conditionalFormatting>
  <conditionalFormatting sqref="P33:T36 P41:T44">
    <cfRule type="containsText" dxfId="500" priority="254" operator="containsText" text="ht">
      <formula>NOT(ISERROR(SEARCH("ht",P33)))</formula>
    </cfRule>
    <cfRule type="containsText" dxfId="499" priority="255" operator="containsText" text="mt">
      <formula>NOT(ISERROR(SEARCH("mt",P33)))</formula>
    </cfRule>
    <cfRule type="containsText" dxfId="498" priority="256" operator="containsText" text="wt">
      <formula>NOT(ISERROR(SEARCH("wt",P33)))</formula>
    </cfRule>
  </conditionalFormatting>
  <conditionalFormatting sqref="U33:U36 U41:U44">
    <cfRule type="containsText" dxfId="497" priority="251" operator="containsText" text="ht">
      <formula>NOT(ISERROR(SEARCH("ht",U33)))</formula>
    </cfRule>
    <cfRule type="containsText" dxfId="496" priority="252" operator="containsText" text="mt">
      <formula>NOT(ISERROR(SEARCH("mt",U33)))</formula>
    </cfRule>
    <cfRule type="containsText" dxfId="495" priority="253" operator="containsText" text="wt">
      <formula>NOT(ISERROR(SEARCH("wt",U33)))</formula>
    </cfRule>
  </conditionalFormatting>
  <conditionalFormatting sqref="AI8:AK8">
    <cfRule type="containsText" dxfId="494" priority="248" operator="containsText" text="ht">
      <formula>NOT(ISERROR(SEARCH("ht",AI8)))</formula>
    </cfRule>
    <cfRule type="containsText" dxfId="493" priority="249" operator="containsText" text="mt">
      <formula>NOT(ISERROR(SEARCH("mt",AI8)))</formula>
    </cfRule>
    <cfRule type="containsText" dxfId="492" priority="250" operator="containsText" text="wt">
      <formula>NOT(ISERROR(SEARCH("wt",AI8)))</formula>
    </cfRule>
  </conditionalFormatting>
  <conditionalFormatting sqref="AA7">
    <cfRule type="cellIs" dxfId="491" priority="228" operator="equal">
      <formula>61</formula>
    </cfRule>
    <cfRule type="cellIs" dxfId="490" priority="229" operator="equal">
      <formula>63</formula>
    </cfRule>
    <cfRule type="cellIs" dxfId="489" priority="230" operator="equal">
      <formula>21</formula>
    </cfRule>
    <cfRule type="cellIs" dxfId="488" priority="231" operator="equal">
      <formula>120</formula>
    </cfRule>
    <cfRule type="cellIs" dxfId="487" priority="232" operator="equal">
      <formula>96</formula>
    </cfRule>
    <cfRule type="cellIs" dxfId="486" priority="233" operator="equal">
      <formula>72</formula>
    </cfRule>
    <cfRule type="cellIs" dxfId="485" priority="234" operator="equal">
      <formula>55</formula>
    </cfRule>
    <cfRule type="cellIs" dxfId="484" priority="235" operator="equal">
      <formula>50</formula>
    </cfRule>
    <cfRule type="cellIs" dxfId="483" priority="236" operator="equal">
      <formula>48</formula>
    </cfRule>
    <cfRule type="cellIs" dxfId="482" priority="237" operator="equal">
      <formula>30</formula>
    </cfRule>
    <cfRule type="cellIs" dxfId="481" priority="238" operator="equal">
      <formula>26</formula>
    </cfRule>
    <cfRule type="cellIs" dxfId="480" priority="239" operator="equal">
      <formula>24</formula>
    </cfRule>
    <cfRule type="cellIs" dxfId="479" priority="240" operator="equal">
      <formula>18</formula>
    </cfRule>
    <cfRule type="cellIs" dxfId="478" priority="241" operator="equal">
      <formula>6</formula>
    </cfRule>
  </conditionalFormatting>
  <conditionalFormatting sqref="AA6">
    <cfRule type="cellIs" dxfId="477" priority="214" operator="equal">
      <formula>61</formula>
    </cfRule>
    <cfRule type="cellIs" dxfId="476" priority="215" operator="equal">
      <formula>63</formula>
    </cfRule>
    <cfRule type="cellIs" dxfId="475" priority="216" operator="equal">
      <formula>21</formula>
    </cfRule>
    <cfRule type="cellIs" dxfId="474" priority="217" operator="equal">
      <formula>120</formula>
    </cfRule>
    <cfRule type="cellIs" dxfId="473" priority="218" operator="equal">
      <formula>96</formula>
    </cfRule>
    <cfRule type="cellIs" dxfId="472" priority="219" operator="equal">
      <formula>72</formula>
    </cfRule>
    <cfRule type="cellIs" dxfId="471" priority="220" operator="equal">
      <formula>55</formula>
    </cfRule>
    <cfRule type="cellIs" dxfId="470" priority="221" operator="equal">
      <formula>50</formula>
    </cfRule>
    <cfRule type="cellIs" dxfId="469" priority="222" operator="equal">
      <formula>48</formula>
    </cfRule>
    <cfRule type="cellIs" dxfId="468" priority="223" operator="equal">
      <formula>30</formula>
    </cfRule>
    <cfRule type="cellIs" dxfId="467" priority="224" operator="equal">
      <formula>26</formula>
    </cfRule>
    <cfRule type="cellIs" dxfId="466" priority="225" operator="equal">
      <formula>24</formula>
    </cfRule>
    <cfRule type="cellIs" dxfId="465" priority="226" operator="equal">
      <formula>18</formula>
    </cfRule>
    <cfRule type="cellIs" dxfId="464" priority="227" operator="equal">
      <formula>6</formula>
    </cfRule>
  </conditionalFormatting>
  <conditionalFormatting sqref="Z6">
    <cfRule type="containsText" dxfId="463" priority="210" operator="containsText" text="241/+ (F2s)">
      <formula>NOT(ISERROR(SEARCH("241/+ (F2s)",Z6)))</formula>
    </cfRule>
    <cfRule type="containsText" dxfId="462" priority="211" operator="containsText" text="187/+ (F2s)">
      <formula>NOT(ISERROR(SEARCH("187/+ (F2s)",Z6)))</formula>
    </cfRule>
    <cfRule type="containsText" dxfId="461" priority="212" operator="containsText" text="236/+ (F1s)">
      <formula>NOT(ISERROR(SEARCH("236/+ (F1s)",Z6)))</formula>
    </cfRule>
    <cfRule type="containsText" dxfId="460" priority="213" operator="containsText" text="241/+ (F1s)">
      <formula>NOT(ISERROR(SEARCH("241/+ (F1s)",Z6)))</formula>
    </cfRule>
  </conditionalFormatting>
  <conditionalFormatting sqref="Z6:Z7">
    <cfRule type="containsText" dxfId="459" priority="209" operator="containsText" text="∆241/∆241">
      <formula>NOT(ISERROR(SEARCH("∆241/∆241",Z6)))</formula>
    </cfRule>
  </conditionalFormatting>
  <conditionalFormatting sqref="Z6:Z7">
    <cfRule type="containsText" dxfId="458" priority="207" operator="containsText" text="prom+/+ (F3s)">
      <formula>NOT(ISERROR(SEARCH("prom+/+ (F3s)",Z6)))</formula>
    </cfRule>
    <cfRule type="containsText" dxfId="457" priority="208" operator="containsText" text="241/+ (F3s)">
      <formula>NOT(ISERROR(SEARCH("241/+ (F3s)",Z6)))</formula>
    </cfRule>
  </conditionalFormatting>
  <conditionalFormatting sqref="Z7">
    <cfRule type="containsText" dxfId="456" priority="203" operator="containsText" text="241/+ (F2s)">
      <formula>NOT(ISERROR(SEARCH("241/+ (F2s)",Z7)))</formula>
    </cfRule>
    <cfRule type="containsText" dxfId="455" priority="204" operator="containsText" text="187/+ (F2s)">
      <formula>NOT(ISERROR(SEARCH("187/+ (F2s)",Z7)))</formula>
    </cfRule>
    <cfRule type="containsText" dxfId="454" priority="205" operator="containsText" text="236/+ (F1s)">
      <formula>NOT(ISERROR(SEARCH("236/+ (F1s)",Z7)))</formula>
    </cfRule>
    <cfRule type="containsText" dxfId="453" priority="206" operator="containsText" text="241/+ (F1s)">
      <formula>NOT(ISERROR(SEARCH("241/+ (F1s)",Z7)))</formula>
    </cfRule>
  </conditionalFormatting>
  <conditionalFormatting sqref="Y8:AA8 AC8:AG8">
    <cfRule type="containsText" dxfId="452" priority="245" operator="containsText" text="ht">
      <formula>NOT(ISERROR(SEARCH("ht",Y8)))</formula>
    </cfRule>
    <cfRule type="containsText" dxfId="451" priority="246" operator="containsText" text="mt">
      <formula>NOT(ISERROR(SEARCH("mt",Y8)))</formula>
    </cfRule>
    <cfRule type="containsText" dxfId="450" priority="247" operator="containsText" text="wt">
      <formula>NOT(ISERROR(SEARCH("wt",Y8)))</formula>
    </cfRule>
  </conditionalFormatting>
  <conditionalFormatting sqref="AC6:AG7 Y6:Y7">
    <cfRule type="containsText" dxfId="449" priority="242" operator="containsText" text="ht">
      <formula>NOT(ISERROR(SEARCH("ht",Y6)))</formula>
    </cfRule>
    <cfRule type="containsText" dxfId="448" priority="243" operator="containsText" text="mt">
      <formula>NOT(ISERROR(SEARCH("mt",Y6)))</formula>
    </cfRule>
    <cfRule type="containsText" dxfId="447" priority="244" operator="containsText" text="wt">
      <formula>NOT(ISERROR(SEARCH("wt",Y6)))</formula>
    </cfRule>
  </conditionalFormatting>
  <conditionalFormatting sqref="AH8">
    <cfRule type="containsText" dxfId="446" priority="200" operator="containsText" text="ht">
      <formula>NOT(ISERROR(SEARCH("ht",AH8)))</formula>
    </cfRule>
    <cfRule type="containsText" dxfId="445" priority="201" operator="containsText" text="mt">
      <formula>NOT(ISERROR(SEARCH("mt",AH8)))</formula>
    </cfRule>
    <cfRule type="containsText" dxfId="444" priority="202" operator="containsText" text="wt">
      <formula>NOT(ISERROR(SEARCH("wt",AH8)))</formula>
    </cfRule>
  </conditionalFormatting>
  <conditionalFormatting sqref="AH8">
    <cfRule type="containsText" dxfId="443" priority="198" operator="containsText" text="YES">
      <formula>NOT(ISERROR(SEARCH("YES",AH8)))</formula>
    </cfRule>
    <cfRule type="containsText" dxfId="442" priority="199" operator="containsText" text="NO">
      <formula>NOT(ISERROR(SEARCH("NO",AH8)))</formula>
    </cfRule>
  </conditionalFormatting>
  <conditionalFormatting sqref="AH6:AH7">
    <cfRule type="containsText" dxfId="441" priority="195" operator="containsText" text="ht">
      <formula>NOT(ISERROR(SEARCH("ht",AH6)))</formula>
    </cfRule>
    <cfRule type="containsText" dxfId="440" priority="196" operator="containsText" text="mt">
      <formula>NOT(ISERROR(SEARCH("mt",AH6)))</formula>
    </cfRule>
    <cfRule type="containsText" dxfId="439" priority="197" operator="containsText" text="wt">
      <formula>NOT(ISERROR(SEARCH("wt",AH6)))</formula>
    </cfRule>
  </conditionalFormatting>
  <conditionalFormatting sqref="AH6:AH7">
    <cfRule type="containsText" dxfId="438" priority="193" operator="containsText" text="YES">
      <formula>NOT(ISERROR(SEARCH("YES",AH6)))</formula>
    </cfRule>
    <cfRule type="containsText" dxfId="437" priority="194" operator="containsText" text="NO">
      <formula>NOT(ISERROR(SEARCH("NO",AH6)))</formula>
    </cfRule>
  </conditionalFormatting>
  <conditionalFormatting sqref="AH6:AH7">
    <cfRule type="containsText" dxfId="436" priority="192" operator="containsText" text="YES?">
      <formula>NOT(ISERROR(SEARCH("YES?",AH6)))</formula>
    </cfRule>
  </conditionalFormatting>
  <conditionalFormatting sqref="AI6:AK7">
    <cfRule type="containsText" dxfId="435" priority="189" operator="containsText" text="ht">
      <formula>NOT(ISERROR(SEARCH("ht",AI6)))</formula>
    </cfRule>
    <cfRule type="containsText" dxfId="434" priority="190" operator="containsText" text="mt">
      <formula>NOT(ISERROR(SEARCH("mt",AI6)))</formula>
    </cfRule>
    <cfRule type="containsText" dxfId="433" priority="191" operator="containsText" text="wt">
      <formula>NOT(ISERROR(SEARCH("wt",AI6)))</formula>
    </cfRule>
  </conditionalFormatting>
  <conditionalFormatting sqref="AB7">
    <cfRule type="cellIs" dxfId="432" priority="175" operator="equal">
      <formula>61</formula>
    </cfRule>
    <cfRule type="cellIs" dxfId="431" priority="176" operator="equal">
      <formula>63</formula>
    </cfRule>
    <cfRule type="cellIs" dxfId="430" priority="177" operator="equal">
      <formula>21</formula>
    </cfRule>
    <cfRule type="cellIs" dxfId="429" priority="178" operator="equal">
      <formula>120</formula>
    </cfRule>
    <cfRule type="cellIs" dxfId="428" priority="179" operator="equal">
      <formula>96</formula>
    </cfRule>
    <cfRule type="cellIs" dxfId="427" priority="180" operator="equal">
      <formula>72</formula>
    </cfRule>
    <cfRule type="cellIs" dxfId="426" priority="181" operator="equal">
      <formula>55</formula>
    </cfRule>
    <cfRule type="cellIs" dxfId="425" priority="182" operator="equal">
      <formula>50</formula>
    </cfRule>
    <cfRule type="cellIs" dxfId="424" priority="183" operator="equal">
      <formula>48</formula>
    </cfRule>
    <cfRule type="cellIs" dxfId="423" priority="184" operator="equal">
      <formula>30</formula>
    </cfRule>
    <cfRule type="cellIs" dxfId="422" priority="185" operator="equal">
      <formula>26</formula>
    </cfRule>
    <cfRule type="cellIs" dxfId="421" priority="186" operator="equal">
      <formula>24</formula>
    </cfRule>
    <cfRule type="cellIs" dxfId="420" priority="187" operator="equal">
      <formula>18</formula>
    </cfRule>
    <cfRule type="cellIs" dxfId="419" priority="188" operator="equal">
      <formula>6</formula>
    </cfRule>
  </conditionalFormatting>
  <conditionalFormatting sqref="AB6">
    <cfRule type="cellIs" dxfId="418" priority="161" operator="equal">
      <formula>61</formula>
    </cfRule>
    <cfRule type="cellIs" dxfId="417" priority="162" operator="equal">
      <formula>63</formula>
    </cfRule>
    <cfRule type="cellIs" dxfId="416" priority="163" operator="equal">
      <formula>21</formula>
    </cfRule>
    <cfRule type="cellIs" dxfId="415" priority="164" operator="equal">
      <formula>120</formula>
    </cfRule>
    <cfRule type="cellIs" dxfId="414" priority="165" operator="equal">
      <formula>96</formula>
    </cfRule>
    <cfRule type="cellIs" dxfId="413" priority="166" operator="equal">
      <formula>72</formula>
    </cfRule>
    <cfRule type="cellIs" dxfId="412" priority="167" operator="equal">
      <formula>55</formula>
    </cfRule>
    <cfRule type="cellIs" dxfId="411" priority="168" operator="equal">
      <formula>50</formula>
    </cfRule>
    <cfRule type="cellIs" dxfId="410" priority="169" operator="equal">
      <formula>48</formula>
    </cfRule>
    <cfRule type="cellIs" dxfId="409" priority="170" operator="equal">
      <formula>30</formula>
    </cfRule>
    <cfRule type="cellIs" dxfId="408" priority="171" operator="equal">
      <formula>26</formula>
    </cfRule>
    <cfRule type="cellIs" dxfId="407" priority="172" operator="equal">
      <formula>24</formula>
    </cfRule>
    <cfRule type="cellIs" dxfId="406" priority="173" operator="equal">
      <formula>18</formula>
    </cfRule>
    <cfRule type="cellIs" dxfId="405" priority="174" operator="equal">
      <formula>6</formula>
    </cfRule>
  </conditionalFormatting>
  <conditionalFormatting sqref="AA5">
    <cfRule type="cellIs" dxfId="404" priority="144" operator="equal">
      <formula>61</formula>
    </cfRule>
    <cfRule type="cellIs" dxfId="403" priority="145" operator="equal">
      <formula>63</formula>
    </cfRule>
    <cfRule type="cellIs" dxfId="402" priority="146" operator="equal">
      <formula>21</formula>
    </cfRule>
    <cfRule type="cellIs" dxfId="401" priority="147" operator="equal">
      <formula>120</formula>
    </cfRule>
    <cfRule type="cellIs" dxfId="400" priority="148" operator="equal">
      <formula>96</formula>
    </cfRule>
    <cfRule type="cellIs" dxfId="399" priority="149" operator="equal">
      <formula>72</formula>
    </cfRule>
    <cfRule type="cellIs" dxfId="398" priority="150" operator="equal">
      <formula>55</formula>
    </cfRule>
    <cfRule type="cellIs" dxfId="397" priority="151" operator="equal">
      <formula>50</formula>
    </cfRule>
    <cfRule type="cellIs" dxfId="396" priority="152" operator="equal">
      <formula>48</formula>
    </cfRule>
    <cfRule type="cellIs" dxfId="395" priority="153" operator="equal">
      <formula>30</formula>
    </cfRule>
    <cfRule type="cellIs" dxfId="394" priority="154" operator="equal">
      <formula>26</formula>
    </cfRule>
    <cfRule type="cellIs" dxfId="393" priority="155" operator="equal">
      <formula>24</formula>
    </cfRule>
    <cfRule type="cellIs" dxfId="392" priority="156" operator="equal">
      <formula>18</formula>
    </cfRule>
    <cfRule type="cellIs" dxfId="391" priority="157" operator="equal">
      <formula>6</formula>
    </cfRule>
  </conditionalFormatting>
  <conditionalFormatting sqref="Y5 AC5:AG5">
    <cfRule type="containsText" dxfId="390" priority="158" operator="containsText" text="ht">
      <formula>NOT(ISERROR(SEARCH("ht",Y5)))</formula>
    </cfRule>
    <cfRule type="containsText" dxfId="389" priority="159" operator="containsText" text="mt">
      <formula>NOT(ISERROR(SEARCH("mt",Y5)))</formula>
    </cfRule>
    <cfRule type="containsText" dxfId="388" priority="160" operator="containsText" text="wt">
      <formula>NOT(ISERROR(SEARCH("wt",Y5)))</formula>
    </cfRule>
  </conditionalFormatting>
  <conditionalFormatting sqref="AH5">
    <cfRule type="containsText" dxfId="387" priority="141" operator="containsText" text="ht">
      <formula>NOT(ISERROR(SEARCH("ht",AH5)))</formula>
    </cfRule>
    <cfRule type="containsText" dxfId="386" priority="142" operator="containsText" text="mt">
      <formula>NOT(ISERROR(SEARCH("mt",AH5)))</formula>
    </cfRule>
    <cfRule type="containsText" dxfId="385" priority="143" operator="containsText" text="wt">
      <formula>NOT(ISERROR(SEARCH("wt",AH5)))</formula>
    </cfRule>
  </conditionalFormatting>
  <conditionalFormatting sqref="AH5">
    <cfRule type="containsText" dxfId="384" priority="139" operator="containsText" text="YES">
      <formula>NOT(ISERROR(SEARCH("YES",AH5)))</formula>
    </cfRule>
    <cfRule type="containsText" dxfId="383" priority="140" operator="containsText" text="NO">
      <formula>NOT(ISERROR(SEARCH("NO",AH5)))</formula>
    </cfRule>
  </conditionalFormatting>
  <conditionalFormatting sqref="AH5">
    <cfRule type="containsText" dxfId="382" priority="138" operator="containsText" text="YES?">
      <formula>NOT(ISERROR(SEARCH("YES?",AH5)))</formula>
    </cfRule>
  </conditionalFormatting>
  <conditionalFormatting sqref="AI5:AK5">
    <cfRule type="containsText" dxfId="381" priority="135" operator="containsText" text="ht">
      <formula>NOT(ISERROR(SEARCH("ht",AI5)))</formula>
    </cfRule>
    <cfRule type="containsText" dxfId="380" priority="136" operator="containsText" text="mt">
      <formula>NOT(ISERROR(SEARCH("mt",AI5)))</formula>
    </cfRule>
    <cfRule type="containsText" dxfId="379" priority="137" operator="containsText" text="wt">
      <formula>NOT(ISERROR(SEARCH("wt",AI5)))</formula>
    </cfRule>
  </conditionalFormatting>
  <conditionalFormatting sqref="AB5">
    <cfRule type="cellIs" dxfId="378" priority="121" operator="equal">
      <formula>61</formula>
    </cfRule>
    <cfRule type="cellIs" dxfId="377" priority="122" operator="equal">
      <formula>63</formula>
    </cfRule>
    <cfRule type="cellIs" dxfId="376" priority="123" operator="equal">
      <formula>21</formula>
    </cfRule>
    <cfRule type="cellIs" dxfId="375" priority="124" operator="equal">
      <formula>120</formula>
    </cfRule>
    <cfRule type="cellIs" dxfId="374" priority="125" operator="equal">
      <formula>96</formula>
    </cfRule>
    <cfRule type="cellIs" dxfId="373" priority="126" operator="equal">
      <formula>72</formula>
    </cfRule>
    <cfRule type="cellIs" dxfId="372" priority="127" operator="equal">
      <formula>55</formula>
    </cfRule>
    <cfRule type="cellIs" dxfId="371" priority="128" operator="equal">
      <formula>50</formula>
    </cfRule>
    <cfRule type="cellIs" dxfId="370" priority="129" operator="equal">
      <formula>48</formula>
    </cfRule>
    <cfRule type="cellIs" dxfId="369" priority="130" operator="equal">
      <formula>30</formula>
    </cfRule>
    <cfRule type="cellIs" dxfId="368" priority="131" operator="equal">
      <formula>26</formula>
    </cfRule>
    <cfRule type="cellIs" dxfId="367" priority="132" operator="equal">
      <formula>24</formula>
    </cfRule>
    <cfRule type="cellIs" dxfId="366" priority="133" operator="equal">
      <formula>18</formula>
    </cfRule>
    <cfRule type="cellIs" dxfId="365" priority="134" operator="equal">
      <formula>6</formula>
    </cfRule>
  </conditionalFormatting>
  <conditionalFormatting sqref="Q25:S28">
    <cfRule type="containsText" dxfId="364" priority="118" operator="containsText" text="ht">
      <formula>NOT(ISERROR(SEARCH("ht",Q25)))</formula>
    </cfRule>
    <cfRule type="containsText" dxfId="363" priority="119" operator="containsText" text="mt">
      <formula>NOT(ISERROR(SEARCH("mt",Q25)))</formula>
    </cfRule>
    <cfRule type="containsText" dxfId="362" priority="120" operator="containsText" text="wt">
      <formula>NOT(ISERROR(SEARCH("wt",Q25)))</formula>
    </cfRule>
  </conditionalFormatting>
  <conditionalFormatting sqref="Q21:S24">
    <cfRule type="containsText" dxfId="361" priority="115" operator="containsText" text="ht">
      <formula>NOT(ISERROR(SEARCH("ht",Q21)))</formula>
    </cfRule>
    <cfRule type="containsText" dxfId="360" priority="116" operator="containsText" text="mt">
      <formula>NOT(ISERROR(SEARCH("mt",Q21)))</formula>
    </cfRule>
    <cfRule type="containsText" dxfId="359" priority="117" operator="containsText" text="wt">
      <formula>NOT(ISERROR(SEARCH("wt",Q21)))</formula>
    </cfRule>
  </conditionalFormatting>
  <conditionalFormatting sqref="Q29:S32">
    <cfRule type="containsText" dxfId="358" priority="112" operator="containsText" text="ht">
      <formula>NOT(ISERROR(SEARCH("ht",Q29)))</formula>
    </cfRule>
    <cfRule type="containsText" dxfId="357" priority="113" operator="containsText" text="mt">
      <formula>NOT(ISERROR(SEARCH("mt",Q29)))</formula>
    </cfRule>
    <cfRule type="containsText" dxfId="356" priority="114" operator="containsText" text="wt">
      <formula>NOT(ISERROR(SEARCH("wt",Q29)))</formula>
    </cfRule>
  </conditionalFormatting>
  <conditionalFormatting sqref="C27">
    <cfRule type="containsText" dxfId="355" priority="106" operator="containsText" text="ht">
      <formula>NOT(ISERROR(SEARCH("ht",C27)))</formula>
    </cfRule>
    <cfRule type="containsText" dxfId="354" priority="107" operator="containsText" text="mt">
      <formula>NOT(ISERROR(SEARCH("mt",C27)))</formula>
    </cfRule>
    <cfRule type="containsText" dxfId="353" priority="108" operator="containsText" text="wt">
      <formula>NOT(ISERROR(SEARCH("wt",C27)))</formula>
    </cfRule>
  </conditionalFormatting>
  <conditionalFormatting sqref="C25:C26">
    <cfRule type="containsText" dxfId="352" priority="109" operator="containsText" text="ht">
      <formula>NOT(ISERROR(SEARCH("ht",C25)))</formula>
    </cfRule>
    <cfRule type="containsText" dxfId="351" priority="110" operator="containsText" text="mt">
      <formula>NOT(ISERROR(SEARCH("mt",C25)))</formula>
    </cfRule>
    <cfRule type="containsText" dxfId="350" priority="111" operator="containsText" text="wt">
      <formula>NOT(ISERROR(SEARCH("wt",C25)))</formula>
    </cfRule>
  </conditionalFormatting>
  <conditionalFormatting sqref="G33 U2 U5:U44">
    <cfRule type="cellIs" dxfId="349" priority="522" operator="greaterThan">
      <formula>$G$33</formula>
    </cfRule>
  </conditionalFormatting>
  <conditionalFormatting sqref="C12:L12">
    <cfRule type="containsText" dxfId="348" priority="100" operator="containsText" text="ht">
      <formula>NOT(ISERROR(SEARCH("ht",C12)))</formula>
    </cfRule>
    <cfRule type="containsText" dxfId="347" priority="101" operator="containsText" text="mt">
      <formula>NOT(ISERROR(SEARCH("mt",C12)))</formula>
    </cfRule>
    <cfRule type="containsText" dxfId="346" priority="102" operator="containsText" text="wt">
      <formula>NOT(ISERROR(SEARCH("wt",C12)))</formula>
    </cfRule>
  </conditionalFormatting>
  <conditionalFormatting sqref="C11:L11">
    <cfRule type="containsText" dxfId="345" priority="103" operator="containsText" text="ht">
      <formula>NOT(ISERROR(SEARCH("ht",C11)))</formula>
    </cfRule>
    <cfRule type="containsText" dxfId="344" priority="104" operator="containsText" text="mt">
      <formula>NOT(ISERROR(SEARCH("mt",C11)))</formula>
    </cfRule>
    <cfRule type="containsText" dxfId="343" priority="105" operator="containsText" text="wt">
      <formula>NOT(ISERROR(SEARCH("wt",C11)))</formula>
    </cfRule>
  </conditionalFormatting>
  <conditionalFormatting sqref="C12:L12">
    <cfRule type="cellIs" dxfId="342" priority="99" operator="equal">
      <formula>"?"</formula>
    </cfRule>
  </conditionalFormatting>
  <conditionalFormatting sqref="O37:O40">
    <cfRule type="containsText" dxfId="341" priority="96" operator="containsText" text="ht">
      <formula>NOT(ISERROR(SEARCH("ht",O37)))</formula>
    </cfRule>
    <cfRule type="containsText" dxfId="340" priority="97" operator="containsText" text="mt">
      <formula>NOT(ISERROR(SEARCH("mt",O37)))</formula>
    </cfRule>
    <cfRule type="containsText" dxfId="339" priority="98" operator="containsText" text="wt">
      <formula>NOT(ISERROR(SEARCH("wt",O37)))</formula>
    </cfRule>
  </conditionalFormatting>
  <conditionalFormatting sqref="T37:T40">
    <cfRule type="containsText" dxfId="338" priority="90" operator="containsText" text="ht">
      <formula>NOT(ISERROR(SEARCH("ht",T37)))</formula>
    </cfRule>
    <cfRule type="containsText" dxfId="337" priority="91" operator="containsText" text="mt">
      <formula>NOT(ISERROR(SEARCH("mt",T37)))</formula>
    </cfRule>
    <cfRule type="containsText" dxfId="336" priority="92" operator="containsText" text="wt">
      <formula>NOT(ISERROR(SEARCH("wt",T37)))</formula>
    </cfRule>
  </conditionalFormatting>
  <conditionalFormatting sqref="P37:P40">
    <cfRule type="containsText" dxfId="335" priority="93" operator="containsText" text="ht">
      <formula>NOT(ISERROR(SEARCH("ht",P37)))</formula>
    </cfRule>
    <cfRule type="containsText" dxfId="334" priority="94" operator="containsText" text="mt">
      <formula>NOT(ISERROR(SEARCH("mt",P37)))</formula>
    </cfRule>
    <cfRule type="containsText" dxfId="333" priority="95" operator="containsText" text="wt">
      <formula>NOT(ISERROR(SEARCH("wt",P37)))</formula>
    </cfRule>
  </conditionalFormatting>
  <conditionalFormatting sqref="U37:U40">
    <cfRule type="containsText" dxfId="332" priority="87" operator="containsText" text="ht">
      <formula>NOT(ISERROR(SEARCH("ht",U37)))</formula>
    </cfRule>
    <cfRule type="containsText" dxfId="331" priority="88" operator="containsText" text="mt">
      <formula>NOT(ISERROR(SEARCH("mt",U37)))</formula>
    </cfRule>
    <cfRule type="containsText" dxfId="330" priority="89" operator="containsText" text="wt">
      <formula>NOT(ISERROR(SEARCH("wt",U37)))</formula>
    </cfRule>
  </conditionalFormatting>
  <conditionalFormatting sqref="Q37:S40">
    <cfRule type="containsText" dxfId="329" priority="84" operator="containsText" text="ht">
      <formula>NOT(ISERROR(SEARCH("ht",Q37)))</formula>
    </cfRule>
    <cfRule type="containsText" dxfId="328" priority="85" operator="containsText" text="mt">
      <formula>NOT(ISERROR(SEARCH("mt",Q37)))</formula>
    </cfRule>
    <cfRule type="containsText" dxfId="327" priority="86" operator="containsText" text="wt">
      <formula>NOT(ISERROR(SEARCH("wt",Q37)))</formula>
    </cfRule>
  </conditionalFormatting>
  <conditionalFormatting sqref="N37 N45">
    <cfRule type="containsText" dxfId="326" priority="81" operator="containsText" text="ht">
      <formula>NOT(ISERROR(SEARCH("ht",N37)))</formula>
    </cfRule>
    <cfRule type="containsText" dxfId="325" priority="82" operator="containsText" text="mt">
      <formula>NOT(ISERROR(SEARCH("mt",N37)))</formula>
    </cfRule>
    <cfRule type="containsText" dxfId="324" priority="83" operator="containsText" text="wt">
      <formula>NOT(ISERROR(SEARCH("wt",N37)))</formula>
    </cfRule>
  </conditionalFormatting>
  <conditionalFormatting sqref="F25">
    <cfRule type="containsBlanks" dxfId="323" priority="80">
      <formula>LEN(TRIM(F25))=0</formula>
    </cfRule>
  </conditionalFormatting>
  <conditionalFormatting sqref="J25:J26">
    <cfRule type="containsBlanks" dxfId="322" priority="79">
      <formula>LEN(TRIM(J25))=0</formula>
    </cfRule>
  </conditionalFormatting>
  <conditionalFormatting sqref="K25:K26">
    <cfRule type="containsBlanks" dxfId="321" priority="78">
      <formula>LEN(TRIM(K25))=0</formula>
    </cfRule>
  </conditionalFormatting>
  <conditionalFormatting sqref="AN35:AN44">
    <cfRule type="containsText" dxfId="320" priority="75" operator="containsText" text="ht">
      <formula>NOT(ISERROR(SEARCH("ht",AN35)))</formula>
    </cfRule>
    <cfRule type="containsText" dxfId="319" priority="76" operator="containsText" text="mt">
      <formula>NOT(ISERROR(SEARCH("mt",AN35)))</formula>
    </cfRule>
    <cfRule type="containsText" dxfId="318" priority="77" operator="containsText" text="wt">
      <formula>NOT(ISERROR(SEARCH("wt",AN35)))</formula>
    </cfRule>
  </conditionalFormatting>
  <conditionalFormatting sqref="AN35:AN44">
    <cfRule type="cellIs" dxfId="317" priority="74" operator="equal">
      <formula>"?"</formula>
    </cfRule>
  </conditionalFormatting>
  <conditionalFormatting sqref="Z4">
    <cfRule type="containsText" dxfId="316" priority="64" operator="containsText" text="spaw+/-; hapln1a prom241/+">
      <formula>NOT(ISERROR(SEARCH("spaw+/-; hapln1a prom241/+",Z4)))</formula>
    </cfRule>
    <cfRule type="containsText" dxfId="315" priority="65" operator="containsText" text="187/187 (F3s)">
      <formula>NOT(ISERROR(SEARCH("187/187 (F3s)",Z4)))</formula>
    </cfRule>
    <cfRule type="containsText" dxfId="314" priority="66" operator="containsText" text="187/+ (F3s)">
      <formula>NOT(ISERROR(SEARCH("187/+ (F3s)",Z4)))</formula>
    </cfRule>
  </conditionalFormatting>
  <conditionalFormatting sqref="Z4">
    <cfRule type="containsText" dxfId="313" priority="70" operator="containsText" text="241/+ (F2s)">
      <formula>NOT(ISERROR(SEARCH("241/+ (F2s)",Z4)))</formula>
    </cfRule>
    <cfRule type="containsText" dxfId="312" priority="71" operator="containsText" text="187/+ (F2s)">
      <formula>NOT(ISERROR(SEARCH("187/+ (F2s)",Z4)))</formula>
    </cfRule>
    <cfRule type="containsText" dxfId="311" priority="72" operator="containsText" text="236/+ (F1s)">
      <formula>NOT(ISERROR(SEARCH("236/+ (F1s)",Z4)))</formula>
    </cfRule>
    <cfRule type="containsText" dxfId="310" priority="73" operator="containsText" text="241/+ (F1s)">
      <formula>NOT(ISERROR(SEARCH("241/+ (F1s)",Z4)))</formula>
    </cfRule>
  </conditionalFormatting>
  <conditionalFormatting sqref="Z4">
    <cfRule type="containsText" dxfId="309" priority="69" operator="containsText" text="241/241">
      <formula>NOT(ISERROR(SEARCH("241/241",Z4)))</formula>
    </cfRule>
  </conditionalFormatting>
  <conditionalFormatting sqref="Z4">
    <cfRule type="containsText" dxfId="308" priority="67" operator="containsText" text="prom+/+ (F3s)">
      <formula>NOT(ISERROR(SEARCH("prom+/+ (F3s)",Z4)))</formula>
    </cfRule>
    <cfRule type="containsText" dxfId="307" priority="68" operator="containsText" text="241/+ (F3s)">
      <formula>NOT(ISERROR(SEARCH("241/+ (F3s)",Z4)))</formula>
    </cfRule>
  </conditionalFormatting>
  <conditionalFormatting sqref="F23:J23">
    <cfRule type="containsText" dxfId="306" priority="61" operator="containsText" text="ht">
      <formula>NOT(ISERROR(SEARCH("ht",F23)))</formula>
    </cfRule>
    <cfRule type="containsText" dxfId="305" priority="62" operator="containsText" text="mt">
      <formula>NOT(ISERROR(SEARCH("mt",F23)))</formula>
    </cfRule>
    <cfRule type="containsText" dxfId="304" priority="63" operator="containsText" text="wt">
      <formula>NOT(ISERROR(SEARCH("wt",F23)))</formula>
    </cfRule>
  </conditionalFormatting>
  <conditionalFormatting sqref="C23 E23">
    <cfRule type="containsText" dxfId="303" priority="58" operator="containsText" text="ht">
      <formula>NOT(ISERROR(SEARCH("ht",C23)))</formula>
    </cfRule>
    <cfRule type="containsText" dxfId="302" priority="59" operator="containsText" text="mt">
      <formula>NOT(ISERROR(SEARCH("mt",C23)))</formula>
    </cfRule>
    <cfRule type="containsText" dxfId="301" priority="60" operator="containsText" text="wt">
      <formula>NOT(ISERROR(SEARCH("wt",C23)))</formula>
    </cfRule>
  </conditionalFormatting>
  <conditionalFormatting sqref="K23:L23">
    <cfRule type="containsText" dxfId="300" priority="55" operator="containsText" text="ht">
      <formula>NOT(ISERROR(SEARCH("ht",K23)))</formula>
    </cfRule>
    <cfRule type="containsText" dxfId="299" priority="56" operator="containsText" text="mt">
      <formula>NOT(ISERROR(SEARCH("mt",K23)))</formula>
    </cfRule>
    <cfRule type="containsText" dxfId="298" priority="57" operator="containsText" text="wt">
      <formula>NOT(ISERROR(SEARCH("wt",K23)))</formula>
    </cfRule>
  </conditionalFormatting>
  <conditionalFormatting sqref="C20:L20">
    <cfRule type="containsText" dxfId="297" priority="41" operator="containsText" text="ht">
      <formula>NOT(ISERROR(SEARCH("ht",C20)))</formula>
    </cfRule>
    <cfRule type="containsText" dxfId="296" priority="42" operator="containsText" text="mt">
      <formula>NOT(ISERROR(SEARCH("mt",C20)))</formula>
    </cfRule>
    <cfRule type="containsText" dxfId="295" priority="43" operator="containsText" text="wt">
      <formula>NOT(ISERROR(SEARCH("wt",C20)))</formula>
    </cfRule>
  </conditionalFormatting>
  <conditionalFormatting sqref="C15:L15 C17:L17 C19:L19">
    <cfRule type="containsText" dxfId="294" priority="52" operator="containsText" text="ht">
      <formula>NOT(ISERROR(SEARCH("ht",C15)))</formula>
    </cfRule>
    <cfRule type="containsText" dxfId="293" priority="53" operator="containsText" text="mt">
      <formula>NOT(ISERROR(SEARCH("mt",C15)))</formula>
    </cfRule>
    <cfRule type="containsText" dxfId="292" priority="54" operator="containsText" text="wt">
      <formula>NOT(ISERROR(SEARCH("wt",C15)))</formula>
    </cfRule>
  </conditionalFormatting>
  <conditionalFormatting sqref="C16:L16">
    <cfRule type="containsText" dxfId="291" priority="49" operator="containsText" text="ht">
      <formula>NOT(ISERROR(SEARCH("ht",C16)))</formula>
    </cfRule>
    <cfRule type="containsText" dxfId="290" priority="50" operator="containsText" text="mt">
      <formula>NOT(ISERROR(SEARCH("mt",C16)))</formula>
    </cfRule>
    <cfRule type="containsText" dxfId="289" priority="51" operator="containsText" text="wt">
      <formula>NOT(ISERROR(SEARCH("wt",C16)))</formula>
    </cfRule>
  </conditionalFormatting>
  <conditionalFormatting sqref="C16:L16">
    <cfRule type="cellIs" dxfId="288" priority="48" operator="equal">
      <formula>"?"</formula>
    </cfRule>
  </conditionalFormatting>
  <conditionalFormatting sqref="C18:L18">
    <cfRule type="containsText" dxfId="287" priority="45" operator="containsText" text="ht">
      <formula>NOT(ISERROR(SEARCH("ht",C18)))</formula>
    </cfRule>
    <cfRule type="containsText" dxfId="286" priority="46" operator="containsText" text="mt">
      <formula>NOT(ISERROR(SEARCH("mt",C18)))</formula>
    </cfRule>
    <cfRule type="containsText" dxfId="285" priority="47" operator="containsText" text="wt">
      <formula>NOT(ISERROR(SEARCH("wt",C18)))</formula>
    </cfRule>
  </conditionalFormatting>
  <conditionalFormatting sqref="C18:L18">
    <cfRule type="cellIs" dxfId="284" priority="44" operator="equal">
      <formula>"?"</formula>
    </cfRule>
  </conditionalFormatting>
  <conditionalFormatting sqref="C20:L20">
    <cfRule type="cellIs" dxfId="283" priority="40" operator="equal">
      <formula>"?"</formula>
    </cfRule>
  </conditionalFormatting>
  <conditionalFormatting sqref="C22:L22">
    <cfRule type="containsText" dxfId="282" priority="34" operator="containsText" text="ht">
      <formula>NOT(ISERROR(SEARCH("ht",C22)))</formula>
    </cfRule>
    <cfRule type="containsText" dxfId="281" priority="35" operator="containsText" text="mt">
      <formula>NOT(ISERROR(SEARCH("mt",C22)))</formula>
    </cfRule>
    <cfRule type="containsText" dxfId="280" priority="36" operator="containsText" text="wt">
      <formula>NOT(ISERROR(SEARCH("wt",C22)))</formula>
    </cfRule>
  </conditionalFormatting>
  <conditionalFormatting sqref="C21:L21">
    <cfRule type="containsText" dxfId="279" priority="37" operator="containsText" text="ht">
      <formula>NOT(ISERROR(SEARCH("ht",C21)))</formula>
    </cfRule>
    <cfRule type="containsText" dxfId="278" priority="38" operator="containsText" text="mt">
      <formula>NOT(ISERROR(SEARCH("mt",C21)))</formula>
    </cfRule>
    <cfRule type="containsText" dxfId="277" priority="39" operator="containsText" text="wt">
      <formula>NOT(ISERROR(SEARCH("wt",C21)))</formula>
    </cfRule>
  </conditionalFormatting>
  <conditionalFormatting sqref="C22:L22">
    <cfRule type="cellIs" dxfId="276" priority="33" operator="equal">
      <formula>"?"</formula>
    </cfRule>
  </conditionalFormatting>
  <conditionalFormatting sqref="B6">
    <cfRule type="containsText" dxfId="275" priority="30" operator="containsText" text="ht">
      <formula>NOT(ISERROR(SEARCH("ht",B6)))</formula>
    </cfRule>
    <cfRule type="containsText" dxfId="274" priority="31" operator="containsText" text="mt">
      <formula>NOT(ISERROR(SEARCH("mt",B6)))</formula>
    </cfRule>
    <cfRule type="containsText" dxfId="273" priority="32" operator="containsText" text="wt">
      <formula>NOT(ISERROR(SEARCH("wt",B6)))</formula>
    </cfRule>
  </conditionalFormatting>
  <conditionalFormatting sqref="A6">
    <cfRule type="containsText" dxfId="272" priority="27" operator="containsText" text="ht">
      <formula>NOT(ISERROR(SEARCH("ht",A6)))</formula>
    </cfRule>
    <cfRule type="containsText" dxfId="271" priority="28" operator="containsText" text="mt">
      <formula>NOT(ISERROR(SEARCH("mt",A6)))</formula>
    </cfRule>
    <cfRule type="containsText" dxfId="270" priority="29" operator="containsText" text="wt">
      <formula>NOT(ISERROR(SEARCH("wt",A6)))</formula>
    </cfRule>
  </conditionalFormatting>
  <conditionalFormatting sqref="A16">
    <cfRule type="containsText" dxfId="269" priority="24" operator="containsText" text="ht">
      <formula>NOT(ISERROR(SEARCH("ht",A16)))</formula>
    </cfRule>
    <cfRule type="containsText" dxfId="268" priority="25" operator="containsText" text="mt">
      <formula>NOT(ISERROR(SEARCH("mt",A16)))</formula>
    </cfRule>
    <cfRule type="containsText" dxfId="267" priority="26" operator="containsText" text="wt">
      <formula>NOT(ISERROR(SEARCH("wt",A16)))</formula>
    </cfRule>
  </conditionalFormatting>
  <conditionalFormatting sqref="B16">
    <cfRule type="containsText" dxfId="266" priority="20" operator="containsText" text="ht">
      <formula>NOT(ISERROR(SEARCH("ht",B16)))</formula>
    </cfRule>
    <cfRule type="containsText" dxfId="265" priority="21" operator="containsText" text="mt">
      <formula>NOT(ISERROR(SEARCH("mt",B16)))</formula>
    </cfRule>
    <cfRule type="containsText" dxfId="264" priority="22" operator="containsText" text="wt">
      <formula>NOT(ISERROR(SEARCH("wt",B16)))</formula>
    </cfRule>
  </conditionalFormatting>
  <conditionalFormatting sqref="B6:B9">
    <cfRule type="containsBlanks" dxfId="263" priority="23">
      <formula>LEN(TRIM(B6))=0</formula>
    </cfRule>
  </conditionalFormatting>
  <conditionalFormatting sqref="B16:B19">
    <cfRule type="containsBlanks" dxfId="262" priority="19">
      <formula>LEN(TRIM(B16))=0</formula>
    </cfRule>
  </conditionalFormatting>
  <conditionalFormatting sqref="AB1:AB3 AB14:AB1048576 AB8">
    <cfRule type="containsText" dxfId="261" priority="301" operator="containsText" text="ht">
      <formula>NOT(ISERROR(SEARCH("ht",#REF!)))</formula>
    </cfRule>
    <cfRule type="containsText" dxfId="260" priority="302" operator="containsText" text="mt">
      <formula>NOT(ISERROR(SEARCH("mt",#REF!)))</formula>
    </cfRule>
    <cfRule type="containsText" dxfId="259" priority="303" operator="containsText" text="wt">
      <formula>NOT(ISERROR(SEARCH("wt",#REF!)))</formula>
    </cfRule>
  </conditionalFormatting>
  <conditionalFormatting sqref="C4">
    <cfRule type="containsText" dxfId="258" priority="15" operator="containsText" text="241/+ (F2s)">
      <formula>NOT(ISERROR(SEARCH("241/+ (F2s)",C4)))</formula>
    </cfRule>
    <cfRule type="containsText" dxfId="257" priority="16" operator="containsText" text="187/+ (F2s)">
      <formula>NOT(ISERROR(SEARCH("187/+ (F2s)",C4)))</formula>
    </cfRule>
    <cfRule type="containsText" dxfId="256" priority="17" operator="containsText" text="236/+ (F1s)">
      <formula>NOT(ISERROR(SEARCH("236/+ (F1s)",C4)))</formula>
    </cfRule>
    <cfRule type="containsText" dxfId="255" priority="18" operator="containsText" text="241/+ (F1s)">
      <formula>NOT(ISERROR(SEARCH("241/+ (F1s)",C4)))</formula>
    </cfRule>
  </conditionalFormatting>
  <conditionalFormatting sqref="C4:H4">
    <cfRule type="containsText" dxfId="254" priority="10" operator="containsText" text="3bp/+ (F2s)">
      <formula>NOT(ISERROR(SEARCH("3bp/+ (F2s)",C4)))</formula>
    </cfRule>
    <cfRule type="containsText" dxfId="253" priority="11" operator="containsText" text="STOP/+ (F2s)">
      <formula>NOT(ISERROR(SEARCH("STOP/+ (F2s)",C4)))</formula>
    </cfRule>
    <cfRule type="containsText" dxfId="252" priority="12" operator="containsText" text="241/+ (F3s)">
      <formula>NOT(ISERROR(SEARCH("241/+ (F3s)",C4)))</formula>
    </cfRule>
    <cfRule type="containsText" dxfId="251" priority="13" operator="containsText" text="spaw+/-; hapln1a prom241/+">
      <formula>NOT(ISERROR(SEARCH("spaw+/-; hapln1a prom241/+",C4)))</formula>
    </cfRule>
    <cfRule type="containsBlanks" dxfId="250" priority="14">
      <formula>LEN(TRIM(C4))=0</formula>
    </cfRule>
  </conditionalFormatting>
  <conditionalFormatting sqref="G29:J29">
    <cfRule type="containsText" dxfId="249" priority="7" operator="containsText" text="ht">
      <formula>NOT(ISERROR(SEARCH("ht",G29)))</formula>
    </cfRule>
    <cfRule type="containsText" dxfId="248" priority="8" operator="containsText" text="mt">
      <formula>NOT(ISERROR(SEARCH("mt",G29)))</formula>
    </cfRule>
    <cfRule type="containsText" dxfId="247" priority="9" operator="containsText" text="wt">
      <formula>NOT(ISERROR(SEARCH("wt",G29)))</formula>
    </cfRule>
  </conditionalFormatting>
  <conditionalFormatting sqref="K29">
    <cfRule type="containsText" dxfId="246" priority="4" operator="containsText" text="ht">
      <formula>NOT(ISERROR(SEARCH("ht",K29)))</formula>
    </cfRule>
    <cfRule type="containsText" dxfId="245" priority="5" operator="containsText" text="mt">
      <formula>NOT(ISERROR(SEARCH("mt",K29)))</formula>
    </cfRule>
    <cfRule type="containsText" dxfId="244" priority="6" operator="containsText" text="wt">
      <formula>NOT(ISERROR(SEARCH("wt",K29)))</formula>
    </cfRule>
  </conditionalFormatting>
  <conditionalFormatting sqref="L29">
    <cfRule type="containsText" dxfId="243" priority="1" operator="containsText" text="ht">
      <formula>NOT(ISERROR(SEARCH("ht",L29)))</formula>
    </cfRule>
    <cfRule type="containsText" dxfId="242" priority="2" operator="containsText" text="mt">
      <formula>NOT(ISERROR(SEARCH("mt",L29)))</formula>
    </cfRule>
    <cfRule type="containsText" dxfId="241" priority="3" operator="containsText" text="wt">
      <formula>NOT(ISERROR(SEARCH("wt",L29)))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51"/>
  <sheetViews>
    <sheetView zoomScale="75" zoomScaleNormal="75" workbookViewId="0">
      <pane ySplit="6" topLeftCell="A7" activePane="bottomLeft" state="frozen"/>
      <selection activeCell="W1" sqref="W1"/>
      <selection pane="bottomLeft" activeCell="H13" sqref="H13"/>
    </sheetView>
  </sheetViews>
  <sheetFormatPr defaultColWidth="9.140625" defaultRowHeight="15" x14ac:dyDescent="0.25"/>
  <cols>
    <col min="1" max="1" width="3.42578125" style="50" customWidth="1"/>
    <col min="2" max="2" width="4.42578125" style="49" customWidth="1"/>
    <col min="3" max="3" width="2.28515625" style="50" customWidth="1"/>
    <col min="4" max="4" width="12.7109375" style="50" customWidth="1"/>
    <col min="5" max="5" width="41.140625" style="25" customWidth="1"/>
    <col min="6" max="6" width="12.85546875" style="26" customWidth="1"/>
    <col min="7" max="7" width="11.28515625" style="26" customWidth="1"/>
    <col min="8" max="8" width="20.42578125" style="3" customWidth="1"/>
    <col min="9" max="9" width="8.42578125" style="3" customWidth="1"/>
    <col min="10" max="16384" width="9.140625" style="50"/>
  </cols>
  <sheetData>
    <row r="1" spans="2:36" x14ac:dyDescent="0.25">
      <c r="N1" s="103" t="s">
        <v>2</v>
      </c>
      <c r="O1" s="104"/>
      <c r="P1" s="105"/>
      <c r="S1" s="56"/>
      <c r="T1" s="56"/>
      <c r="U1" s="56"/>
      <c r="V1" s="56"/>
      <c r="Y1" s="51"/>
      <c r="Z1" s="51"/>
      <c r="AA1" s="51"/>
      <c r="AB1" s="51"/>
      <c r="AC1" s="51"/>
      <c r="AD1" s="52"/>
      <c r="AF1" s="53"/>
      <c r="AG1" s="53"/>
      <c r="AH1" s="53"/>
      <c r="AI1" s="53"/>
      <c r="AJ1" s="53"/>
    </row>
    <row r="2" spans="2:36" ht="15" customHeight="1" x14ac:dyDescent="0.25">
      <c r="D2" s="111" t="s">
        <v>84</v>
      </c>
      <c r="E2" s="111"/>
      <c r="F2" s="111"/>
      <c r="G2" s="111"/>
      <c r="H2" s="111"/>
      <c r="J2" s="10" t="s">
        <v>17</v>
      </c>
      <c r="K2" s="10" t="s">
        <v>18</v>
      </c>
      <c r="L2" s="10" t="s">
        <v>19</v>
      </c>
      <c r="N2" s="10" t="s">
        <v>17</v>
      </c>
      <c r="O2" s="10" t="s">
        <v>18</v>
      </c>
      <c r="P2" s="10" t="s">
        <v>19</v>
      </c>
      <c r="S2" s="56"/>
      <c r="T2" s="56"/>
      <c r="U2" s="69"/>
      <c r="V2" s="69"/>
      <c r="Y2" s="70"/>
      <c r="Z2" s="51"/>
      <c r="AA2" s="51"/>
      <c r="AB2" s="51"/>
      <c r="AC2" s="51"/>
      <c r="AD2" s="52"/>
    </row>
    <row r="3" spans="2:36" x14ac:dyDescent="0.25">
      <c r="D3" s="111"/>
      <c r="E3" s="111"/>
      <c r="F3" s="111"/>
      <c r="G3" s="111"/>
      <c r="H3" s="111"/>
      <c r="J3" s="54">
        <f>SUBTOTAL(9,J8:J323)</f>
        <v>0</v>
      </c>
      <c r="K3" s="54">
        <f>SUBTOTAL(9,K8:K323)</f>
        <v>0</v>
      </c>
      <c r="L3" s="54">
        <f>SUBTOTAL(9,L8:L323)</f>
        <v>0</v>
      </c>
      <c r="M3" s="55">
        <f>SUM(J3:L3)</f>
        <v>0</v>
      </c>
      <c r="N3" s="54">
        <f>SUBTOTAL(9,N8:N323)</f>
        <v>0</v>
      </c>
      <c r="O3" s="54">
        <f>SUBTOTAL(9,O8:O323)</f>
        <v>0</v>
      </c>
      <c r="P3" s="54">
        <f>SUBTOTAL(9,P8:P323)</f>
        <v>0</v>
      </c>
      <c r="Q3" s="55">
        <f>SUM(N3:P3)</f>
        <v>0</v>
      </c>
      <c r="S3" s="69"/>
      <c r="T3" s="69"/>
      <c r="U3" s="69"/>
      <c r="V3" s="69"/>
      <c r="Y3" s="51"/>
      <c r="Z3" s="51"/>
      <c r="AA3" s="51"/>
      <c r="AB3" s="51"/>
      <c r="AC3" s="51"/>
      <c r="AD3" s="52"/>
    </row>
    <row r="4" spans="2:36" ht="15" customHeight="1" x14ac:dyDescent="0.25">
      <c r="F4" s="56"/>
      <c r="G4" s="56"/>
      <c r="S4" s="69"/>
      <c r="T4" s="56"/>
      <c r="Y4" s="51"/>
      <c r="Z4" s="51"/>
      <c r="AA4" s="51"/>
      <c r="AB4" s="51"/>
      <c r="AC4" s="51"/>
      <c r="AD4" s="52"/>
    </row>
    <row r="5" spans="2:36" ht="15" customHeight="1" x14ac:dyDescent="0.25">
      <c r="F5" s="57"/>
      <c r="G5" s="57"/>
      <c r="H5" s="18"/>
      <c r="I5" s="56"/>
      <c r="J5" s="58"/>
      <c r="N5" s="103" t="s">
        <v>2</v>
      </c>
      <c r="O5" s="104"/>
      <c r="P5" s="105"/>
      <c r="Y5" s="51"/>
      <c r="Z5" s="51"/>
      <c r="AA5" s="51"/>
      <c r="AB5" s="51"/>
      <c r="AC5" s="51"/>
      <c r="AD5" s="52"/>
    </row>
    <row r="6" spans="2:36" ht="15" customHeight="1" x14ac:dyDescent="0.25">
      <c r="D6" s="11" t="s">
        <v>86</v>
      </c>
      <c r="E6" s="59" t="s">
        <v>12</v>
      </c>
      <c r="F6" s="59" t="s">
        <v>87</v>
      </c>
      <c r="G6" s="59" t="s">
        <v>88</v>
      </c>
      <c r="H6" s="60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60" t="s">
        <v>20</v>
      </c>
      <c r="N6" s="11" t="s">
        <v>17</v>
      </c>
      <c r="O6" s="11" t="s">
        <v>18</v>
      </c>
      <c r="P6" s="11" t="s">
        <v>19</v>
      </c>
      <c r="Z6" s="52"/>
      <c r="AA6" s="52"/>
      <c r="AB6" s="52"/>
      <c r="AC6" s="52"/>
      <c r="AD6" s="52"/>
    </row>
    <row r="7" spans="2:36" ht="15" customHeight="1" x14ac:dyDescent="0.25">
      <c r="B7" s="49">
        <v>0</v>
      </c>
      <c r="D7" s="14" t="str">
        <f>'LS09'!Y4</f>
        <v>LS09</v>
      </c>
      <c r="E7" s="14" t="str">
        <f>'LS09'!Z4</f>
        <v>hapln1a prom241/+ (F2s) InX</v>
      </c>
      <c r="F7" s="14" t="str">
        <f>'LS09'!AA4</f>
        <v>72-74</v>
      </c>
      <c r="G7" s="14" t="str">
        <f>'LS09'!AB4</f>
        <v>None</v>
      </c>
      <c r="H7" s="18">
        <f>'LS09'!AC4</f>
        <v>43861</v>
      </c>
      <c r="I7" s="14">
        <f>'LS09'!AD4</f>
        <v>18</v>
      </c>
      <c r="J7" s="14">
        <f>'LS09'!AE4</f>
        <v>3</v>
      </c>
      <c r="K7" s="14">
        <f>'LS09'!AF4</f>
        <v>11</v>
      </c>
      <c r="L7" s="14">
        <f>'LS09'!AG4</f>
        <v>4</v>
      </c>
      <c r="M7" s="14" t="str">
        <f>'LS09'!AH4</f>
        <v>YES</v>
      </c>
      <c r="N7" s="14">
        <f>'LS09'!AI4</f>
        <v>3</v>
      </c>
      <c r="O7" s="14">
        <f>'LS09'!AJ4</f>
        <v>4</v>
      </c>
      <c r="P7" s="14">
        <f>'LS09'!AK4</f>
        <v>3</v>
      </c>
      <c r="Z7" s="52"/>
      <c r="AA7" s="52"/>
      <c r="AB7" s="52"/>
      <c r="AC7" s="52"/>
      <c r="AD7" s="52"/>
    </row>
    <row r="8" spans="2:36" x14ac:dyDescent="0.25">
      <c r="B8" s="49">
        <v>1</v>
      </c>
      <c r="D8" s="14"/>
      <c r="E8" s="72"/>
      <c r="F8" s="73"/>
      <c r="G8" s="16"/>
      <c r="H8" s="18"/>
      <c r="I8" s="14"/>
      <c r="J8" s="14"/>
      <c r="K8" s="14"/>
      <c r="L8" s="14"/>
      <c r="M8" s="14"/>
      <c r="N8" s="14"/>
      <c r="O8" s="14"/>
      <c r="P8" s="14"/>
    </row>
    <row r="9" spans="2:36" x14ac:dyDescent="0.25">
      <c r="B9" s="49">
        <v>2</v>
      </c>
      <c r="D9" s="14"/>
      <c r="E9" s="72"/>
      <c r="F9" s="74"/>
      <c r="G9" s="16"/>
      <c r="H9" s="18"/>
      <c r="I9" s="14"/>
      <c r="J9" s="14"/>
      <c r="K9" s="14"/>
      <c r="L9" s="14"/>
      <c r="M9" s="14"/>
      <c r="N9" s="14"/>
      <c r="O9" s="14"/>
      <c r="P9" s="14"/>
    </row>
    <row r="10" spans="2:36" x14ac:dyDescent="0.25">
      <c r="B10" s="49">
        <v>3</v>
      </c>
      <c r="D10" s="14"/>
      <c r="E10" s="72"/>
      <c r="F10" s="74"/>
      <c r="G10" s="16"/>
      <c r="H10" s="18"/>
      <c r="I10" s="14"/>
      <c r="J10" s="14"/>
      <c r="K10" s="14"/>
      <c r="L10" s="14"/>
      <c r="M10" s="14"/>
      <c r="N10" s="14"/>
      <c r="O10" s="14"/>
      <c r="P10" s="14"/>
    </row>
    <row r="11" spans="2:36" x14ac:dyDescent="0.25">
      <c r="B11" s="49">
        <v>4</v>
      </c>
      <c r="D11" s="14"/>
      <c r="E11" s="72"/>
      <c r="F11" s="74"/>
      <c r="G11" s="16"/>
      <c r="H11" s="18"/>
      <c r="I11" s="14"/>
      <c r="J11" s="14"/>
      <c r="K11" s="14"/>
      <c r="L11" s="14"/>
      <c r="M11" s="14"/>
      <c r="N11" s="14"/>
      <c r="O11" s="14"/>
      <c r="P11" s="14"/>
    </row>
    <row r="12" spans="2:36" x14ac:dyDescent="0.25">
      <c r="B12" s="49">
        <v>5</v>
      </c>
      <c r="D12" s="75"/>
      <c r="E12" s="72"/>
      <c r="F12" s="74"/>
      <c r="G12" s="16"/>
      <c r="H12" s="18"/>
      <c r="I12" s="14"/>
      <c r="J12" s="14"/>
      <c r="K12" s="14"/>
      <c r="L12" s="14"/>
      <c r="M12" s="14"/>
      <c r="N12" s="14"/>
      <c r="O12" s="14"/>
      <c r="P12" s="14"/>
    </row>
    <row r="13" spans="2:36" x14ac:dyDescent="0.25">
      <c r="B13" s="49">
        <v>6</v>
      </c>
      <c r="D13" s="75"/>
      <c r="E13" s="72"/>
      <c r="F13" s="74"/>
      <c r="G13" s="16"/>
      <c r="H13" s="18"/>
      <c r="I13" s="14"/>
      <c r="J13" s="14"/>
      <c r="K13" s="14"/>
      <c r="L13" s="14"/>
      <c r="M13" s="14"/>
      <c r="N13" s="14"/>
      <c r="O13" s="14"/>
      <c r="P13" s="14"/>
    </row>
    <row r="14" spans="2:36" x14ac:dyDescent="0.25">
      <c r="B14" s="49">
        <v>7</v>
      </c>
      <c r="D14" s="75"/>
      <c r="E14" s="72"/>
      <c r="F14" s="69"/>
      <c r="G14" s="16"/>
      <c r="H14" s="18"/>
      <c r="I14" s="14"/>
      <c r="J14" s="14"/>
      <c r="K14" s="14"/>
      <c r="L14" s="14"/>
      <c r="M14" s="14"/>
      <c r="N14" s="14"/>
      <c r="O14" s="14"/>
      <c r="P14" s="14"/>
    </row>
    <row r="15" spans="2:36" x14ac:dyDescent="0.25">
      <c r="B15" s="49">
        <v>8</v>
      </c>
      <c r="D15" s="75"/>
      <c r="E15" s="72"/>
      <c r="F15" s="74"/>
      <c r="G15" s="16"/>
      <c r="H15" s="18"/>
      <c r="I15" s="14"/>
      <c r="J15" s="14"/>
      <c r="K15" s="14"/>
      <c r="L15" s="14"/>
      <c r="M15" s="14"/>
      <c r="N15" s="14"/>
      <c r="O15" s="14"/>
      <c r="P15" s="14"/>
    </row>
    <row r="16" spans="2:36" x14ac:dyDescent="0.25">
      <c r="B16" s="49">
        <v>9</v>
      </c>
      <c r="D16" s="75"/>
      <c r="E16" s="72"/>
      <c r="F16" s="69"/>
      <c r="G16" s="16"/>
      <c r="H16" s="18"/>
      <c r="I16" s="14"/>
      <c r="J16" s="14"/>
      <c r="K16" s="14"/>
      <c r="L16" s="14"/>
      <c r="M16" s="14"/>
      <c r="N16" s="14"/>
      <c r="O16" s="14"/>
      <c r="P16" s="14"/>
    </row>
    <row r="17" spans="2:21" x14ac:dyDescent="0.25">
      <c r="B17" s="49">
        <v>10</v>
      </c>
      <c r="D17" s="75"/>
      <c r="E17" s="72"/>
      <c r="F17" s="74"/>
      <c r="G17" s="16"/>
      <c r="H17" s="18"/>
      <c r="I17" s="14"/>
      <c r="J17" s="14"/>
      <c r="K17" s="14"/>
      <c r="L17" s="14"/>
      <c r="M17" s="14"/>
      <c r="N17" s="14"/>
      <c r="O17" s="14"/>
      <c r="P17" s="14"/>
    </row>
    <row r="18" spans="2:21" x14ac:dyDescent="0.25">
      <c r="B18" s="49">
        <v>11</v>
      </c>
      <c r="D18" s="76"/>
      <c r="E18" s="72"/>
      <c r="F18" s="77"/>
      <c r="G18" s="16"/>
      <c r="H18" s="18"/>
      <c r="I18" s="14"/>
      <c r="J18" s="14"/>
      <c r="K18" s="14"/>
      <c r="L18" s="14"/>
      <c r="M18" s="14"/>
      <c r="N18" s="14"/>
      <c r="O18" s="14"/>
      <c r="P18" s="14"/>
    </row>
    <row r="19" spans="2:21" x14ac:dyDescent="0.25">
      <c r="B19" s="49">
        <v>12</v>
      </c>
      <c r="D19" s="75"/>
      <c r="E19" s="72"/>
      <c r="F19" s="69"/>
      <c r="G19" s="16"/>
      <c r="H19" s="18"/>
      <c r="I19" s="14"/>
      <c r="J19" s="14"/>
      <c r="K19" s="14"/>
      <c r="L19" s="14"/>
      <c r="M19" s="14"/>
      <c r="N19" s="14"/>
      <c r="O19" s="14"/>
      <c r="P19" s="14"/>
    </row>
    <row r="20" spans="2:21" x14ac:dyDescent="0.25">
      <c r="B20" s="49">
        <v>13</v>
      </c>
      <c r="D20" s="76"/>
      <c r="E20" s="72"/>
      <c r="F20" s="69"/>
      <c r="G20" s="16"/>
      <c r="H20" s="18"/>
      <c r="I20" s="14"/>
      <c r="J20" s="14"/>
      <c r="K20" s="14"/>
      <c r="L20" s="14"/>
      <c r="M20" s="14"/>
      <c r="N20" s="14"/>
      <c r="O20" s="14"/>
      <c r="P20" s="14"/>
    </row>
    <row r="21" spans="2:21" x14ac:dyDescent="0.25">
      <c r="B21" s="49">
        <v>14</v>
      </c>
      <c r="D21" s="75"/>
      <c r="E21" s="72"/>
      <c r="F21" s="73"/>
      <c r="G21" s="16"/>
      <c r="H21" s="18"/>
      <c r="I21" s="14"/>
      <c r="J21" s="14"/>
      <c r="K21" s="14"/>
      <c r="L21" s="14"/>
      <c r="M21" s="14"/>
      <c r="N21" s="14"/>
      <c r="O21" s="14"/>
      <c r="P21" s="14"/>
    </row>
    <row r="22" spans="2:21" x14ac:dyDescent="0.25">
      <c r="B22" s="49">
        <v>15</v>
      </c>
      <c r="D22" s="75"/>
      <c r="E22" s="72"/>
      <c r="F22" s="74"/>
      <c r="G22" s="16"/>
      <c r="H22" s="18"/>
      <c r="I22" s="14"/>
      <c r="J22" s="14"/>
      <c r="K22" s="14"/>
      <c r="L22" s="14"/>
      <c r="M22" s="14"/>
      <c r="N22" s="14"/>
      <c r="O22" s="14"/>
      <c r="P22" s="14"/>
    </row>
    <row r="23" spans="2:21" x14ac:dyDescent="0.25">
      <c r="B23" s="49">
        <v>16</v>
      </c>
      <c r="D23" s="76"/>
      <c r="E23" s="72"/>
      <c r="F23" s="69"/>
      <c r="G23" s="61"/>
      <c r="H23" s="18"/>
      <c r="I23" s="14"/>
      <c r="J23" s="14"/>
      <c r="K23" s="14"/>
      <c r="L23" s="14"/>
      <c r="M23" s="14"/>
      <c r="N23" s="14"/>
      <c r="O23" s="14"/>
      <c r="P23" s="14"/>
    </row>
    <row r="24" spans="2:21" x14ac:dyDescent="0.25">
      <c r="B24" s="49">
        <v>17</v>
      </c>
      <c r="D24" s="75"/>
      <c r="E24" s="72"/>
      <c r="F24" s="74"/>
      <c r="G24" s="16"/>
      <c r="H24" s="18"/>
      <c r="I24" s="14"/>
      <c r="J24" s="14"/>
      <c r="K24" s="14"/>
      <c r="L24" s="14"/>
      <c r="M24" s="14"/>
      <c r="N24" s="14"/>
      <c r="O24" s="14"/>
      <c r="P24" s="14"/>
    </row>
    <row r="25" spans="2:21" x14ac:dyDescent="0.25">
      <c r="B25" s="49">
        <v>18</v>
      </c>
      <c r="D25" s="75"/>
      <c r="E25" s="72"/>
      <c r="F25" s="74"/>
      <c r="G25" s="16"/>
      <c r="H25" s="18"/>
      <c r="I25" s="14"/>
      <c r="J25" s="14"/>
      <c r="K25" s="14"/>
      <c r="L25" s="14"/>
      <c r="M25" s="14"/>
      <c r="N25" s="14"/>
      <c r="O25" s="14"/>
      <c r="P25" s="14"/>
      <c r="U25" s="58"/>
    </row>
    <row r="26" spans="2:21" x14ac:dyDescent="0.25">
      <c r="B26" s="49">
        <v>19</v>
      </c>
      <c r="D26" s="75"/>
      <c r="E26" s="72"/>
      <c r="F26" s="73"/>
      <c r="G26" s="16"/>
      <c r="H26" s="18"/>
      <c r="I26" s="14"/>
      <c r="J26" s="14"/>
      <c r="K26" s="14"/>
      <c r="L26" s="14"/>
      <c r="M26" s="14"/>
      <c r="N26" s="14"/>
      <c r="O26" s="14"/>
      <c r="P26" s="14"/>
    </row>
    <row r="27" spans="2:21" x14ac:dyDescent="0.25">
      <c r="B27" s="49">
        <v>20</v>
      </c>
      <c r="D27" s="75"/>
      <c r="E27" s="72"/>
      <c r="F27" s="74"/>
      <c r="G27" s="16"/>
      <c r="H27" s="18"/>
      <c r="I27" s="14"/>
      <c r="J27" s="14"/>
      <c r="K27" s="14"/>
      <c r="L27" s="14"/>
      <c r="M27" s="14"/>
      <c r="N27" s="14"/>
      <c r="O27" s="14"/>
      <c r="P27" s="14"/>
    </row>
    <row r="28" spans="2:21" x14ac:dyDescent="0.25">
      <c r="B28" s="49">
        <v>21</v>
      </c>
      <c r="D28" s="75"/>
      <c r="E28" s="72"/>
      <c r="F28" s="74"/>
      <c r="G28" s="16"/>
      <c r="H28" s="18"/>
      <c r="I28" s="14"/>
      <c r="J28" s="14"/>
      <c r="K28" s="14"/>
      <c r="L28" s="14"/>
      <c r="M28" s="14"/>
      <c r="N28" s="14"/>
      <c r="O28" s="14"/>
      <c r="P28" s="14"/>
    </row>
    <row r="29" spans="2:21" x14ac:dyDescent="0.25">
      <c r="B29" s="49">
        <v>22</v>
      </c>
      <c r="D29" s="76"/>
      <c r="E29" s="72"/>
      <c r="F29" s="74"/>
      <c r="G29" s="61"/>
      <c r="H29" s="18"/>
      <c r="I29" s="14"/>
      <c r="J29" s="14"/>
      <c r="K29" s="14"/>
      <c r="L29" s="14"/>
      <c r="M29" s="14"/>
      <c r="N29" s="14"/>
      <c r="O29" s="14"/>
      <c r="P29" s="14"/>
    </row>
    <row r="30" spans="2:21" x14ac:dyDescent="0.25">
      <c r="B30" s="49">
        <v>23</v>
      </c>
      <c r="D30" s="75"/>
      <c r="E30" s="72"/>
      <c r="F30" s="74"/>
      <c r="G30" s="16"/>
      <c r="H30" s="18"/>
      <c r="I30" s="14"/>
      <c r="J30" s="14"/>
      <c r="K30" s="14"/>
      <c r="L30" s="14"/>
      <c r="M30" s="14"/>
      <c r="N30" s="14"/>
      <c r="O30" s="14"/>
      <c r="P30" s="14"/>
    </row>
    <row r="31" spans="2:21" x14ac:dyDescent="0.25">
      <c r="B31" s="49">
        <v>24</v>
      </c>
      <c r="D31" s="75"/>
      <c r="E31" s="72"/>
      <c r="F31" s="74"/>
      <c r="G31" s="16"/>
      <c r="H31" s="18"/>
      <c r="I31" s="14"/>
      <c r="J31" s="14"/>
      <c r="K31" s="14"/>
      <c r="L31" s="14"/>
      <c r="M31" s="14"/>
      <c r="N31" s="14"/>
      <c r="O31" s="14"/>
      <c r="P31" s="14"/>
    </row>
    <row r="32" spans="2:21" x14ac:dyDescent="0.25">
      <c r="B32" s="49">
        <v>25</v>
      </c>
      <c r="D32" s="14"/>
      <c r="E32" s="72"/>
      <c r="F32" s="74"/>
      <c r="G32" s="16"/>
      <c r="H32" s="18"/>
      <c r="I32" s="14"/>
      <c r="J32" s="14"/>
      <c r="K32" s="14"/>
      <c r="L32" s="14"/>
      <c r="M32" s="14"/>
      <c r="N32" s="14"/>
      <c r="O32" s="14"/>
      <c r="P32" s="14"/>
    </row>
    <row r="33" spans="2:16" x14ac:dyDescent="0.25">
      <c r="B33" s="49">
        <v>26</v>
      </c>
      <c r="D33" s="14"/>
      <c r="E33" s="72"/>
      <c r="F33" s="74"/>
      <c r="G33" s="16"/>
      <c r="H33" s="18"/>
      <c r="I33" s="14"/>
      <c r="J33" s="14"/>
      <c r="K33" s="14"/>
      <c r="L33" s="14"/>
      <c r="M33" s="14"/>
      <c r="N33" s="14"/>
      <c r="O33" s="14"/>
      <c r="P33" s="14"/>
    </row>
    <row r="34" spans="2:16" x14ac:dyDescent="0.25">
      <c r="B34" s="49">
        <v>27</v>
      </c>
      <c r="D34" s="14"/>
      <c r="E34" s="78"/>
      <c r="F34" s="74"/>
      <c r="G34" s="16"/>
      <c r="H34" s="18"/>
      <c r="I34" s="14"/>
      <c r="J34" s="14"/>
      <c r="K34" s="14"/>
      <c r="L34" s="14"/>
      <c r="M34" s="14"/>
      <c r="N34" s="14"/>
      <c r="O34" s="14"/>
      <c r="P34" s="14"/>
    </row>
    <row r="35" spans="2:16" x14ac:dyDescent="0.25">
      <c r="B35" s="49">
        <v>28</v>
      </c>
      <c r="D35" s="14"/>
      <c r="E35" s="62"/>
      <c r="F35" s="74"/>
      <c r="G35" s="16"/>
      <c r="H35" s="18"/>
      <c r="I35" s="14"/>
      <c r="J35" s="14"/>
      <c r="K35" s="14"/>
      <c r="L35" s="14"/>
      <c r="M35" s="14"/>
      <c r="N35" s="14"/>
      <c r="O35" s="14"/>
      <c r="P35" s="14"/>
    </row>
    <row r="36" spans="2:16" x14ac:dyDescent="0.25">
      <c r="B36" s="49">
        <v>29</v>
      </c>
      <c r="D36" s="14"/>
      <c r="E36" s="62"/>
      <c r="F36" s="79"/>
      <c r="G36" s="16"/>
      <c r="H36" s="18"/>
      <c r="I36" s="14"/>
      <c r="J36" s="14"/>
      <c r="K36" s="14"/>
      <c r="L36" s="14"/>
      <c r="M36" s="14"/>
      <c r="N36" s="14"/>
      <c r="O36" s="14"/>
      <c r="P36" s="14"/>
    </row>
    <row r="37" spans="2:16" x14ac:dyDescent="0.25">
      <c r="B37" s="49">
        <v>30</v>
      </c>
      <c r="D37" s="14"/>
      <c r="E37" s="71"/>
      <c r="F37" s="16"/>
      <c r="G37" s="17"/>
      <c r="H37" s="18"/>
      <c r="I37" s="14"/>
      <c r="J37" s="14"/>
      <c r="K37" s="14"/>
      <c r="L37" s="14"/>
      <c r="M37" s="14"/>
      <c r="N37" s="14"/>
      <c r="O37" s="14"/>
      <c r="P37" s="14"/>
    </row>
    <row r="38" spans="2:16" x14ac:dyDescent="0.25">
      <c r="B38" s="49">
        <v>31</v>
      </c>
      <c r="D38" s="14"/>
      <c r="E38" s="72"/>
      <c r="F38" s="16"/>
      <c r="G38" s="16"/>
      <c r="H38" s="18"/>
      <c r="I38" s="14"/>
      <c r="J38" s="14"/>
      <c r="K38" s="14"/>
      <c r="L38" s="14"/>
      <c r="M38" s="14"/>
      <c r="N38" s="14"/>
      <c r="O38" s="14"/>
      <c r="P38" s="14"/>
    </row>
    <row r="39" spans="2:16" x14ac:dyDescent="0.25">
      <c r="B39" s="49">
        <v>32</v>
      </c>
      <c r="D39" s="63"/>
      <c r="E39" s="80"/>
      <c r="F39" s="16"/>
      <c r="G39" s="16"/>
      <c r="H39" s="18"/>
      <c r="I39" s="14"/>
      <c r="J39" s="14"/>
      <c r="K39" s="14"/>
      <c r="L39" s="14"/>
      <c r="M39" s="14"/>
      <c r="N39" s="14"/>
      <c r="O39" s="14"/>
      <c r="P39" s="14"/>
    </row>
    <row r="40" spans="2:16" x14ac:dyDescent="0.25">
      <c r="B40" s="49">
        <v>33</v>
      </c>
      <c r="D40" s="14"/>
      <c r="E40" s="72"/>
      <c r="F40" s="16"/>
      <c r="G40" s="16"/>
      <c r="H40" s="18"/>
      <c r="I40" s="14"/>
      <c r="J40" s="14"/>
      <c r="K40" s="14"/>
      <c r="L40" s="14"/>
      <c r="M40" s="14"/>
      <c r="N40" s="14"/>
      <c r="O40" s="14"/>
      <c r="P40" s="14"/>
    </row>
    <row r="41" spans="2:16" x14ac:dyDescent="0.25">
      <c r="B41" s="49">
        <v>34</v>
      </c>
      <c r="D41" s="63"/>
      <c r="E41" s="80"/>
      <c r="F41" s="16"/>
      <c r="G41" s="16"/>
      <c r="H41" s="18"/>
      <c r="I41" s="14"/>
      <c r="J41" s="14"/>
      <c r="K41" s="14"/>
      <c r="L41" s="14"/>
      <c r="M41" s="14"/>
      <c r="N41" s="14"/>
      <c r="O41" s="14"/>
      <c r="P41" s="14"/>
    </row>
    <row r="42" spans="2:16" x14ac:dyDescent="0.25">
      <c r="B42" s="49">
        <v>35</v>
      </c>
      <c r="D42" s="14"/>
      <c r="E42" s="72"/>
      <c r="F42" s="16"/>
      <c r="G42" s="16"/>
      <c r="H42" s="18"/>
      <c r="I42" s="14"/>
      <c r="J42" s="14"/>
      <c r="K42" s="14"/>
      <c r="L42" s="14"/>
      <c r="M42" s="14"/>
      <c r="N42" s="14"/>
      <c r="O42" s="14"/>
      <c r="P42" s="14"/>
    </row>
    <row r="43" spans="2:16" x14ac:dyDescent="0.25">
      <c r="B43" s="49">
        <v>36</v>
      </c>
      <c r="D43" s="63"/>
      <c r="E43" s="80"/>
      <c r="F43" s="16"/>
      <c r="G43" s="16"/>
      <c r="H43" s="18"/>
      <c r="I43" s="14"/>
      <c r="J43" s="14"/>
      <c r="K43" s="14"/>
      <c r="L43" s="14"/>
      <c r="M43" s="14"/>
      <c r="N43" s="14"/>
      <c r="O43" s="14"/>
      <c r="P43" s="14"/>
    </row>
    <row r="44" spans="2:16" x14ac:dyDescent="0.25">
      <c r="B44" s="49">
        <v>37</v>
      </c>
      <c r="D44" s="14"/>
      <c r="E44" s="72"/>
      <c r="F44" s="16"/>
      <c r="G44" s="16"/>
      <c r="H44" s="18"/>
      <c r="I44" s="14"/>
      <c r="J44" s="14"/>
      <c r="K44" s="14"/>
      <c r="L44" s="14"/>
      <c r="M44" s="14"/>
      <c r="N44" s="14"/>
      <c r="O44" s="14"/>
      <c r="P44" s="14"/>
    </row>
    <row r="45" spans="2:16" x14ac:dyDescent="0.25">
      <c r="B45" s="49">
        <v>38</v>
      </c>
      <c r="D45" s="63"/>
      <c r="E45" s="80"/>
      <c r="F45" s="16"/>
      <c r="G45" s="16"/>
      <c r="H45" s="18"/>
      <c r="I45" s="14"/>
      <c r="J45" s="14"/>
      <c r="K45" s="14"/>
      <c r="L45" s="14"/>
      <c r="M45" s="14"/>
      <c r="N45" s="14"/>
      <c r="O45" s="14"/>
      <c r="P45" s="14"/>
    </row>
    <row r="46" spans="2:16" x14ac:dyDescent="0.25">
      <c r="B46" s="49">
        <v>39</v>
      </c>
      <c r="D46" s="14"/>
      <c r="E46" s="72"/>
      <c r="F46" s="16"/>
      <c r="G46" s="16"/>
      <c r="H46" s="18"/>
      <c r="I46" s="14"/>
      <c r="J46" s="14"/>
      <c r="K46" s="14"/>
      <c r="L46" s="14"/>
      <c r="M46" s="14"/>
      <c r="N46" s="14"/>
      <c r="O46" s="14"/>
      <c r="P46" s="14"/>
    </row>
    <row r="47" spans="2:16" x14ac:dyDescent="0.25">
      <c r="B47" s="49">
        <v>40</v>
      </c>
      <c r="D47" s="63"/>
      <c r="E47" s="80"/>
      <c r="F47" s="16"/>
      <c r="G47" s="16"/>
      <c r="H47" s="18"/>
      <c r="I47" s="14"/>
      <c r="J47" s="14"/>
      <c r="K47" s="14"/>
      <c r="L47" s="14"/>
      <c r="M47" s="14"/>
      <c r="N47" s="14"/>
      <c r="O47" s="14"/>
      <c r="P47" s="14"/>
    </row>
    <row r="48" spans="2:16" x14ac:dyDescent="0.25">
      <c r="B48" s="49">
        <v>41</v>
      </c>
      <c r="D48" s="14"/>
      <c r="E48" s="72"/>
      <c r="F48" s="16"/>
      <c r="G48" s="16"/>
      <c r="H48" s="18"/>
      <c r="I48" s="14"/>
      <c r="J48" s="14"/>
      <c r="K48" s="14"/>
      <c r="L48" s="14"/>
      <c r="M48" s="14"/>
      <c r="N48" s="14"/>
      <c r="O48" s="14"/>
      <c r="P48" s="14"/>
    </row>
    <row r="49" spans="2:16" x14ac:dyDescent="0.25">
      <c r="B49" s="49">
        <v>42</v>
      </c>
      <c r="D49" s="63"/>
      <c r="E49" s="80"/>
      <c r="F49" s="16"/>
      <c r="G49" s="16"/>
      <c r="H49" s="18"/>
      <c r="I49" s="14"/>
      <c r="J49" s="14"/>
      <c r="K49" s="14"/>
      <c r="L49" s="14"/>
      <c r="M49" s="14"/>
      <c r="N49" s="14"/>
      <c r="O49" s="14"/>
      <c r="P49" s="14"/>
    </row>
    <row r="50" spans="2:16" x14ac:dyDescent="0.25">
      <c r="B50" s="49">
        <v>43</v>
      </c>
      <c r="D50" s="14"/>
      <c r="E50" s="72"/>
      <c r="F50" s="16"/>
      <c r="G50" s="16"/>
      <c r="H50" s="18"/>
      <c r="I50" s="14"/>
      <c r="J50" s="14"/>
      <c r="K50" s="14"/>
      <c r="L50" s="14"/>
      <c r="M50" s="14"/>
      <c r="N50" s="14"/>
      <c r="O50" s="14"/>
      <c r="P50" s="14"/>
    </row>
    <row r="51" spans="2:16" x14ac:dyDescent="0.25">
      <c r="B51" s="49">
        <v>44</v>
      </c>
      <c r="D51" s="63"/>
      <c r="E51" s="80"/>
      <c r="F51" s="16"/>
      <c r="G51" s="16"/>
      <c r="H51" s="18"/>
      <c r="I51" s="14"/>
      <c r="J51" s="14"/>
      <c r="K51" s="14"/>
      <c r="L51" s="14"/>
      <c r="M51" s="14"/>
      <c r="N51" s="14"/>
      <c r="O51" s="14"/>
      <c r="P51" s="14"/>
    </row>
  </sheetData>
  <autoFilter ref="D6:M36"/>
  <mergeCells count="3">
    <mergeCell ref="N1:P1"/>
    <mergeCell ref="D2:H3"/>
    <mergeCell ref="N5:P5"/>
  </mergeCells>
  <conditionalFormatting sqref="I6:J6 J8:L11 H52:I1048576 J37:L51">
    <cfRule type="containsText" dxfId="240" priority="448" operator="containsText" text="ht">
      <formula>NOT(ISERROR(SEARCH("ht",H6)))</formula>
    </cfRule>
    <cfRule type="containsText" dxfId="239" priority="449" operator="containsText" text="mt">
      <formula>NOT(ISERROR(SEARCH("mt",H6)))</formula>
    </cfRule>
    <cfRule type="containsText" dxfId="238" priority="450" operator="containsText" text="wt">
      <formula>NOT(ISERROR(SEARCH("wt",H6)))</formula>
    </cfRule>
  </conditionalFormatting>
  <conditionalFormatting sqref="I6:J6 D6 J8:L11 H52:I1048576 J37:L51">
    <cfRule type="cellIs" dxfId="237" priority="447" operator="equal">
      <formula>"?"</formula>
    </cfRule>
  </conditionalFormatting>
  <conditionalFormatting sqref="K6:L6">
    <cfRule type="containsText" dxfId="236" priority="444" operator="containsText" text="ht">
      <formula>NOT(ISERROR(SEARCH("ht",K6)))</formula>
    </cfRule>
    <cfRule type="containsText" dxfId="235" priority="445" operator="containsText" text="mt">
      <formula>NOT(ISERROR(SEARCH("mt",K6)))</formula>
    </cfRule>
    <cfRule type="containsText" dxfId="234" priority="446" operator="containsText" text="wt">
      <formula>NOT(ISERROR(SEARCH("wt",K6)))</formula>
    </cfRule>
  </conditionalFormatting>
  <conditionalFormatting sqref="K6:L6">
    <cfRule type="cellIs" dxfId="233" priority="443" operator="equal">
      <formula>"?"</formula>
    </cfRule>
  </conditionalFormatting>
  <conditionalFormatting sqref="K6">
    <cfRule type="containsText" dxfId="232" priority="440" operator="containsText" text="ht">
      <formula>NOT(ISERROR(SEARCH("ht",K6)))</formula>
    </cfRule>
    <cfRule type="containsText" dxfId="231" priority="441" operator="containsText" text="mt">
      <formula>NOT(ISERROR(SEARCH("mt",K6)))</formula>
    </cfRule>
    <cfRule type="containsText" dxfId="230" priority="442" operator="containsText" text="wt">
      <formula>NOT(ISERROR(SEARCH("wt",K6)))</formula>
    </cfRule>
  </conditionalFormatting>
  <conditionalFormatting sqref="L6">
    <cfRule type="containsText" dxfId="229" priority="437" operator="containsText" text="ht">
      <formula>NOT(ISERROR(SEARCH("ht",L6)))</formula>
    </cfRule>
    <cfRule type="containsText" dxfId="228" priority="438" operator="containsText" text="mt">
      <formula>NOT(ISERROR(SEARCH("mt",L6)))</formula>
    </cfRule>
    <cfRule type="containsText" dxfId="227" priority="439" operator="containsText" text="wt">
      <formula>NOT(ISERROR(SEARCH("wt",L6)))</formula>
    </cfRule>
  </conditionalFormatting>
  <conditionalFormatting sqref="I5">
    <cfRule type="containsText" dxfId="226" priority="434" operator="containsText" text="NO">
      <formula>NOT(ISERROR(SEARCH("NO",I5)))</formula>
    </cfRule>
    <cfRule type="containsText" dxfId="225" priority="435" operator="containsText" text="YES">
      <formula>NOT(ISERROR(SEARCH("YES",I5)))</formula>
    </cfRule>
  </conditionalFormatting>
  <conditionalFormatting sqref="I5">
    <cfRule type="containsText" dxfId="224" priority="433" operator="containsText" text="HALF">
      <formula>NOT(ISERROR(SEARCH("HALF",I5)))</formula>
    </cfRule>
  </conditionalFormatting>
  <conditionalFormatting sqref="I5">
    <cfRule type="containsText" dxfId="223" priority="431" operator="containsText" text="NLN">
      <formula>NOT(ISERROR(SEARCH("NLN",I5)))</formula>
    </cfRule>
    <cfRule type="containsText" dxfId="222" priority="432" operator="containsText" text="BIN">
      <formula>NOT(ISERROR(SEARCH("BIN",I5)))</formula>
    </cfRule>
  </conditionalFormatting>
  <conditionalFormatting sqref="I5">
    <cfRule type="containsText" dxfId="221" priority="429" operator="containsText" text="&quot;?&quot;">
      <formula>NOT(ISERROR(SEARCH("""?""",I5)))</formula>
    </cfRule>
    <cfRule type="containsText" dxfId="220" priority="430" operator="containsText" text="S-NLN">
      <formula>NOT(ISERROR(SEARCH("S-NLN",I5)))</formula>
    </cfRule>
  </conditionalFormatting>
  <conditionalFormatting sqref="E53:E1048576 E5">
    <cfRule type="containsText" dxfId="219" priority="425" operator="containsText" text="241/+ (F2s)">
      <formula>NOT(ISERROR(SEARCH("241/+ (F2s)",E5)))</formula>
    </cfRule>
    <cfRule type="containsText" dxfId="218" priority="426" operator="containsText" text="187/+ (F2s)">
      <formula>NOT(ISERROR(SEARCH("187/+ (F2s)",E5)))</formula>
    </cfRule>
    <cfRule type="containsText" dxfId="217" priority="427" operator="containsText" text="236/+ (F1s)">
      <formula>NOT(ISERROR(SEARCH("236/+ (F1s)",E5)))</formula>
    </cfRule>
    <cfRule type="containsText" dxfId="216" priority="428" operator="containsText" text="241/+ (F1s)">
      <formula>NOT(ISERROR(SEARCH("241/+ (F1s)",E5)))</formula>
    </cfRule>
  </conditionalFormatting>
  <conditionalFormatting sqref="E53:E1048576 E5">
    <cfRule type="containsText" dxfId="215" priority="424" operator="containsText" text="∆241/∆241">
      <formula>NOT(ISERROR(SEARCH("∆241/∆241",E5)))</formula>
    </cfRule>
  </conditionalFormatting>
  <conditionalFormatting sqref="E5 E52:E1048576">
    <cfRule type="containsText" dxfId="214" priority="422" operator="containsText" text="prom+/+ (F3s)">
      <formula>NOT(ISERROR(SEARCH("prom+/+ (F3s)",E5)))</formula>
    </cfRule>
    <cfRule type="containsText" dxfId="213" priority="423" operator="containsText" text="241/+ (F3s)">
      <formula>NOT(ISERROR(SEARCH("241/+ (F3s)",E5)))</formula>
    </cfRule>
  </conditionalFormatting>
  <conditionalFormatting sqref="E6">
    <cfRule type="containsText" dxfId="212" priority="419" operator="containsText" text="ht">
      <formula>NOT(ISERROR(SEARCH("ht",E6)))</formula>
    </cfRule>
    <cfRule type="containsText" dxfId="211" priority="420" operator="containsText" text="mt">
      <formula>NOT(ISERROR(SEARCH("mt",E6)))</formula>
    </cfRule>
    <cfRule type="containsText" dxfId="210" priority="421" operator="containsText" text="wt">
      <formula>NOT(ISERROR(SEARCH("wt",E6)))</formula>
    </cfRule>
  </conditionalFormatting>
  <conditionalFormatting sqref="E6">
    <cfRule type="cellIs" dxfId="209" priority="418" operator="equal">
      <formula>"?"</formula>
    </cfRule>
  </conditionalFormatting>
  <conditionalFormatting sqref="G6">
    <cfRule type="containsText" dxfId="208" priority="387" operator="containsText" text="ht">
      <formula>NOT(ISERROR(SEARCH("ht",G6)))</formula>
    </cfRule>
    <cfRule type="containsText" dxfId="207" priority="388" operator="containsText" text="mt">
      <formula>NOT(ISERROR(SEARCH("mt",G6)))</formula>
    </cfRule>
    <cfRule type="containsText" dxfId="206" priority="389" operator="containsText" text="wt">
      <formula>NOT(ISERROR(SEARCH("wt",G6)))</formula>
    </cfRule>
  </conditionalFormatting>
  <conditionalFormatting sqref="G6">
    <cfRule type="cellIs" dxfId="205" priority="386" operator="equal">
      <formula>"?"</formula>
    </cfRule>
  </conditionalFormatting>
  <conditionalFormatting sqref="K2:L2">
    <cfRule type="containsText" dxfId="204" priority="415" operator="containsText" text="ht">
      <formula>NOT(ISERROR(SEARCH("ht",K2)))</formula>
    </cfRule>
    <cfRule type="containsText" dxfId="203" priority="416" operator="containsText" text="mt">
      <formula>NOT(ISERROR(SEARCH("mt",K2)))</formula>
    </cfRule>
    <cfRule type="containsText" dxfId="202" priority="417" operator="containsText" text="wt">
      <formula>NOT(ISERROR(SEARCH("wt",K2)))</formula>
    </cfRule>
  </conditionalFormatting>
  <conditionalFormatting sqref="K2:L2">
    <cfRule type="cellIs" dxfId="201" priority="414" operator="equal">
      <formula>"?"</formula>
    </cfRule>
  </conditionalFormatting>
  <conditionalFormatting sqref="K2">
    <cfRule type="containsText" dxfId="200" priority="411" operator="containsText" text="ht">
      <formula>NOT(ISERROR(SEARCH("ht",K2)))</formula>
    </cfRule>
    <cfRule type="containsText" dxfId="199" priority="412" operator="containsText" text="mt">
      <formula>NOT(ISERROR(SEARCH("mt",K2)))</formula>
    </cfRule>
    <cfRule type="containsText" dxfId="198" priority="413" operator="containsText" text="wt">
      <formula>NOT(ISERROR(SEARCH("wt",K2)))</formula>
    </cfRule>
  </conditionalFormatting>
  <conditionalFormatting sqref="L2">
    <cfRule type="containsText" dxfId="197" priority="408" operator="containsText" text="ht">
      <formula>NOT(ISERROR(SEARCH("ht",L2)))</formula>
    </cfRule>
    <cfRule type="containsText" dxfId="196" priority="409" operator="containsText" text="mt">
      <formula>NOT(ISERROR(SEARCH("mt",L2)))</formula>
    </cfRule>
    <cfRule type="containsText" dxfId="195" priority="410" operator="containsText" text="wt">
      <formula>NOT(ISERROR(SEARCH("wt",L2)))</formula>
    </cfRule>
  </conditionalFormatting>
  <conditionalFormatting sqref="J2">
    <cfRule type="containsText" dxfId="194" priority="405" operator="containsText" text="ht">
      <formula>NOT(ISERROR(SEARCH("ht",J2)))</formula>
    </cfRule>
    <cfRule type="containsText" dxfId="193" priority="406" operator="containsText" text="mt">
      <formula>NOT(ISERROR(SEARCH("mt",J2)))</formula>
    </cfRule>
    <cfRule type="containsText" dxfId="192" priority="407" operator="containsText" text="wt">
      <formula>NOT(ISERROR(SEARCH("wt",J2)))</formula>
    </cfRule>
  </conditionalFormatting>
  <conditionalFormatting sqref="J2">
    <cfRule type="cellIs" dxfId="191" priority="404" operator="equal">
      <formula>"?"</formula>
    </cfRule>
  </conditionalFormatting>
  <conditionalFormatting sqref="G52:G1048576">
    <cfRule type="cellIs" dxfId="190" priority="390" operator="equal">
      <formula>61</formula>
    </cfRule>
    <cfRule type="cellIs" dxfId="189" priority="391" operator="equal">
      <formula>63</formula>
    </cfRule>
    <cfRule type="cellIs" dxfId="188" priority="392" operator="equal">
      <formula>21</formula>
    </cfRule>
    <cfRule type="cellIs" dxfId="187" priority="393" operator="equal">
      <formula>120</formula>
    </cfRule>
    <cfRule type="cellIs" dxfId="186" priority="394" operator="equal">
      <formula>96</formula>
    </cfRule>
    <cfRule type="cellIs" dxfId="185" priority="395" operator="equal">
      <formula>72</formula>
    </cfRule>
    <cfRule type="cellIs" dxfId="184" priority="396" operator="equal">
      <formula>55</formula>
    </cfRule>
    <cfRule type="cellIs" dxfId="183" priority="397" operator="equal">
      <formula>50</formula>
    </cfRule>
    <cfRule type="cellIs" dxfId="182" priority="398" operator="equal">
      <formula>48</formula>
    </cfRule>
    <cfRule type="cellIs" dxfId="181" priority="399" operator="equal">
      <formula>30</formula>
    </cfRule>
    <cfRule type="cellIs" dxfId="180" priority="400" operator="equal">
      <formula>26</formula>
    </cfRule>
    <cfRule type="cellIs" dxfId="179" priority="401" operator="equal">
      <formula>24</formula>
    </cfRule>
    <cfRule type="cellIs" dxfId="178" priority="402" operator="equal">
      <formula>18</formula>
    </cfRule>
    <cfRule type="cellIs" dxfId="177" priority="403" operator="equal">
      <formula>6</formula>
    </cfRule>
  </conditionalFormatting>
  <conditionalFormatting sqref="H6">
    <cfRule type="containsText" dxfId="176" priority="383" operator="containsText" text="ht">
      <formula>NOT(ISERROR(SEARCH("ht",H6)))</formula>
    </cfRule>
    <cfRule type="containsText" dxfId="175" priority="384" operator="containsText" text="mt">
      <formula>NOT(ISERROR(SEARCH("mt",H6)))</formula>
    </cfRule>
    <cfRule type="containsText" dxfId="174" priority="385" operator="containsText" text="wt">
      <formula>NOT(ISERROR(SEARCH("wt",H6)))</formula>
    </cfRule>
  </conditionalFormatting>
  <conditionalFormatting sqref="H6">
    <cfRule type="cellIs" dxfId="173" priority="382" operator="equal">
      <formula>"?"</formula>
    </cfRule>
  </conditionalFormatting>
  <conditionalFormatting sqref="M6">
    <cfRule type="cellIs" dxfId="172" priority="375" operator="equal">
      <formula>"?"</formula>
    </cfRule>
  </conditionalFormatting>
  <conditionalFormatting sqref="M6">
    <cfRule type="containsText" dxfId="171" priority="376" operator="containsText" text="ht">
      <formula>NOT(ISERROR(SEARCH("ht",M6)))</formula>
    </cfRule>
    <cfRule type="containsText" dxfId="170" priority="377" operator="containsText" text="mt">
      <formula>NOT(ISERROR(SEARCH("mt",M6)))</formula>
    </cfRule>
    <cfRule type="containsText" dxfId="169" priority="378" operator="containsText" text="wt">
      <formula>NOT(ISERROR(SEARCH("wt",M6)))</formula>
    </cfRule>
  </conditionalFormatting>
  <conditionalFormatting sqref="M6">
    <cfRule type="containsText" dxfId="168" priority="373" operator="containsText" text="YES">
      <formula>NOT(ISERROR(SEARCH("YES",M6)))</formula>
    </cfRule>
    <cfRule type="containsText" dxfId="167" priority="374" operator="containsText" text="NO">
      <formula>NOT(ISERROR(SEARCH("NO",M6)))</formula>
    </cfRule>
  </conditionalFormatting>
  <conditionalFormatting sqref="M8:P11 M37:M51">
    <cfRule type="containsText" dxfId="166" priority="371" operator="containsText" text="YES">
      <formula>NOT(ISERROR(SEARCH("YES",M8)))</formula>
    </cfRule>
    <cfRule type="containsText" dxfId="165" priority="372" operator="containsText" text="NO">
      <formula>NOT(ISERROR(SEARCH("NO",M8)))</formula>
    </cfRule>
  </conditionalFormatting>
  <conditionalFormatting sqref="G1:G6 G52:G1048576">
    <cfRule type="containsText" dxfId="164" priority="355" operator="containsText" text="72-74hpf">
      <formula>NOT(ISERROR(SEARCH("72-74hpf",G1)))</formula>
    </cfRule>
    <cfRule type="containsText" dxfId="163" priority="356" operator="containsText" text="48-50hpf">
      <formula>NOT(ISERROR(SEARCH("48-50hpf",G1)))</formula>
    </cfRule>
  </conditionalFormatting>
  <conditionalFormatting sqref="M1:M6 M37:M1048576 M8:P11">
    <cfRule type="containsText" dxfId="162" priority="354" operator="containsText" text="YES?">
      <formula>NOT(ISERROR(SEARCH("YES?",M1)))</formula>
    </cfRule>
  </conditionalFormatting>
  <conditionalFormatting sqref="N5">
    <cfRule type="containsText" dxfId="161" priority="351" operator="containsText" text="ht">
      <formula>NOT(ISERROR(SEARCH("ht",N5)))</formula>
    </cfRule>
    <cfRule type="containsText" dxfId="160" priority="352" operator="containsText" text="mt">
      <formula>NOT(ISERROR(SEARCH("mt",N5)))</formula>
    </cfRule>
    <cfRule type="containsText" dxfId="159" priority="353" operator="containsText" text="wt">
      <formula>NOT(ISERROR(SEARCH("wt",N5)))</formula>
    </cfRule>
  </conditionalFormatting>
  <conditionalFormatting sqref="N5">
    <cfRule type="cellIs" dxfId="158" priority="350" operator="equal">
      <formula>"?"</formula>
    </cfRule>
  </conditionalFormatting>
  <conditionalFormatting sqref="N37:P51">
    <cfRule type="containsText" dxfId="157" priority="347" operator="containsText" text="ht">
      <formula>NOT(ISERROR(SEARCH("ht",N37)))</formula>
    </cfRule>
    <cfRule type="containsText" dxfId="156" priority="348" operator="containsText" text="mt">
      <formula>NOT(ISERROR(SEARCH("mt",N37)))</formula>
    </cfRule>
    <cfRule type="containsText" dxfId="155" priority="349" operator="containsText" text="wt">
      <formula>NOT(ISERROR(SEARCH("wt",N37)))</formula>
    </cfRule>
  </conditionalFormatting>
  <conditionalFormatting sqref="N37:P51">
    <cfRule type="cellIs" dxfId="154" priority="346" operator="equal">
      <formula>"?"</formula>
    </cfRule>
  </conditionalFormatting>
  <conditionalFormatting sqref="N6">
    <cfRule type="containsText" dxfId="153" priority="343" operator="containsText" text="ht">
      <formula>NOT(ISERROR(SEARCH("ht",N6)))</formula>
    </cfRule>
    <cfRule type="containsText" dxfId="152" priority="344" operator="containsText" text="mt">
      <formula>NOT(ISERROR(SEARCH("mt",N6)))</formula>
    </cfRule>
    <cfRule type="containsText" dxfId="151" priority="345" operator="containsText" text="wt">
      <formula>NOT(ISERROR(SEARCH("wt",N6)))</formula>
    </cfRule>
  </conditionalFormatting>
  <conditionalFormatting sqref="N6">
    <cfRule type="cellIs" dxfId="150" priority="342" operator="equal">
      <formula>"?"</formula>
    </cfRule>
  </conditionalFormatting>
  <conditionalFormatting sqref="O6:P6">
    <cfRule type="containsText" dxfId="149" priority="339" operator="containsText" text="ht">
      <formula>NOT(ISERROR(SEARCH("ht",O6)))</formula>
    </cfRule>
    <cfRule type="containsText" dxfId="148" priority="340" operator="containsText" text="mt">
      <formula>NOT(ISERROR(SEARCH("mt",O6)))</formula>
    </cfRule>
    <cfRule type="containsText" dxfId="147" priority="341" operator="containsText" text="wt">
      <formula>NOT(ISERROR(SEARCH("wt",O6)))</formula>
    </cfRule>
  </conditionalFormatting>
  <conditionalFormatting sqref="O6:P6">
    <cfRule type="cellIs" dxfId="146" priority="338" operator="equal">
      <formula>"?"</formula>
    </cfRule>
  </conditionalFormatting>
  <conditionalFormatting sqref="O6">
    <cfRule type="containsText" dxfId="145" priority="335" operator="containsText" text="ht">
      <formula>NOT(ISERROR(SEARCH("ht",O6)))</formula>
    </cfRule>
    <cfRule type="containsText" dxfId="144" priority="336" operator="containsText" text="mt">
      <formula>NOT(ISERROR(SEARCH("mt",O6)))</formula>
    </cfRule>
    <cfRule type="containsText" dxfId="143" priority="337" operator="containsText" text="wt">
      <formula>NOT(ISERROR(SEARCH("wt",O6)))</formula>
    </cfRule>
  </conditionalFormatting>
  <conditionalFormatting sqref="P6">
    <cfRule type="containsText" dxfId="142" priority="332" operator="containsText" text="ht">
      <formula>NOT(ISERROR(SEARCH("ht",P6)))</formula>
    </cfRule>
    <cfRule type="containsText" dxfId="141" priority="333" operator="containsText" text="mt">
      <formula>NOT(ISERROR(SEARCH("mt",P6)))</formula>
    </cfRule>
    <cfRule type="containsText" dxfId="140" priority="334" operator="containsText" text="wt">
      <formula>NOT(ISERROR(SEARCH("wt",P6)))</formula>
    </cfRule>
  </conditionalFormatting>
  <conditionalFormatting sqref="O2:P2">
    <cfRule type="containsText" dxfId="139" priority="329" operator="containsText" text="ht">
      <formula>NOT(ISERROR(SEARCH("ht",O2)))</formula>
    </cfRule>
    <cfRule type="containsText" dxfId="138" priority="330" operator="containsText" text="mt">
      <formula>NOT(ISERROR(SEARCH("mt",O2)))</formula>
    </cfRule>
    <cfRule type="containsText" dxfId="137" priority="331" operator="containsText" text="wt">
      <formula>NOT(ISERROR(SEARCH("wt",O2)))</formula>
    </cfRule>
  </conditionalFormatting>
  <conditionalFormatting sqref="O2:P2">
    <cfRule type="cellIs" dxfId="136" priority="328" operator="equal">
      <formula>"?"</formula>
    </cfRule>
  </conditionalFormatting>
  <conditionalFormatting sqref="O2">
    <cfRule type="containsText" dxfId="135" priority="325" operator="containsText" text="ht">
      <formula>NOT(ISERROR(SEARCH("ht",O2)))</formula>
    </cfRule>
    <cfRule type="containsText" dxfId="134" priority="326" operator="containsText" text="mt">
      <formula>NOT(ISERROR(SEARCH("mt",O2)))</formula>
    </cfRule>
    <cfRule type="containsText" dxfId="133" priority="327" operator="containsText" text="wt">
      <formula>NOT(ISERROR(SEARCH("wt",O2)))</formula>
    </cfRule>
  </conditionalFormatting>
  <conditionalFormatting sqref="P2">
    <cfRule type="containsText" dxfId="132" priority="322" operator="containsText" text="ht">
      <formula>NOT(ISERROR(SEARCH("ht",P2)))</formula>
    </cfRule>
    <cfRule type="containsText" dxfId="131" priority="323" operator="containsText" text="mt">
      <formula>NOT(ISERROR(SEARCH("mt",P2)))</formula>
    </cfRule>
    <cfRule type="containsText" dxfId="130" priority="324" operator="containsText" text="wt">
      <formula>NOT(ISERROR(SEARCH("wt",P2)))</formula>
    </cfRule>
  </conditionalFormatting>
  <conditionalFormatting sqref="N2">
    <cfRule type="containsText" dxfId="129" priority="319" operator="containsText" text="ht">
      <formula>NOT(ISERROR(SEARCH("ht",N2)))</formula>
    </cfRule>
    <cfRule type="containsText" dxfId="128" priority="320" operator="containsText" text="mt">
      <formula>NOT(ISERROR(SEARCH("mt",N2)))</formula>
    </cfRule>
    <cfRule type="containsText" dxfId="127" priority="321" operator="containsText" text="wt">
      <formula>NOT(ISERROR(SEARCH("wt",N2)))</formula>
    </cfRule>
  </conditionalFormatting>
  <conditionalFormatting sqref="N2">
    <cfRule type="cellIs" dxfId="126" priority="318" operator="equal">
      <formula>"?"</formula>
    </cfRule>
  </conditionalFormatting>
  <conditionalFormatting sqref="N1">
    <cfRule type="containsText" dxfId="125" priority="315" operator="containsText" text="ht">
      <formula>NOT(ISERROR(SEARCH("ht",N1)))</formula>
    </cfRule>
    <cfRule type="containsText" dxfId="124" priority="316" operator="containsText" text="mt">
      <formula>NOT(ISERROR(SEARCH("mt",N1)))</formula>
    </cfRule>
    <cfRule type="containsText" dxfId="123" priority="317" operator="containsText" text="wt">
      <formula>NOT(ISERROR(SEARCH("wt",N1)))</formula>
    </cfRule>
  </conditionalFormatting>
  <conditionalFormatting sqref="N1">
    <cfRule type="cellIs" dxfId="122" priority="314" operator="equal">
      <formula>"?"</formula>
    </cfRule>
  </conditionalFormatting>
  <conditionalFormatting sqref="E1:E6 E52:E1048576">
    <cfRule type="containsText" dxfId="121" priority="303" operator="containsText" text="spaw+/-; hapln1a prom241/+">
      <formula>NOT(ISERROR(SEARCH("spaw+/-; hapln1a prom241/+",E1)))</formula>
    </cfRule>
  </conditionalFormatting>
  <conditionalFormatting sqref="J12:L17">
    <cfRule type="containsText" dxfId="120" priority="297" operator="containsText" text="ht">
      <formula>NOT(ISERROR(SEARCH("ht",J12)))</formula>
    </cfRule>
    <cfRule type="containsText" dxfId="119" priority="298" operator="containsText" text="mt">
      <formula>NOT(ISERROR(SEARCH("mt",J12)))</formula>
    </cfRule>
    <cfRule type="containsText" dxfId="118" priority="299" operator="containsText" text="wt">
      <formula>NOT(ISERROR(SEARCH("wt",J12)))</formula>
    </cfRule>
  </conditionalFormatting>
  <conditionalFormatting sqref="J12:L17">
    <cfRule type="cellIs" dxfId="117" priority="296" operator="equal">
      <formula>"?"</formula>
    </cfRule>
  </conditionalFormatting>
  <conditionalFormatting sqref="M12:P17">
    <cfRule type="containsText" dxfId="116" priority="294" operator="containsText" text="YES">
      <formula>NOT(ISERROR(SEARCH("YES",M12)))</formula>
    </cfRule>
    <cfRule type="containsText" dxfId="115" priority="295" operator="containsText" text="NO">
      <formula>NOT(ISERROR(SEARCH("NO",M12)))</formula>
    </cfRule>
  </conditionalFormatting>
  <conditionalFormatting sqref="M12:P17">
    <cfRule type="containsText" dxfId="114" priority="277" operator="containsText" text="YES?">
      <formula>NOT(ISERROR(SEARCH("YES?",M12)))</formula>
    </cfRule>
  </conditionalFormatting>
  <conditionalFormatting sqref="J18:L29">
    <cfRule type="containsText" dxfId="113" priority="260" operator="containsText" text="ht">
      <formula>NOT(ISERROR(SEARCH("ht",J18)))</formula>
    </cfRule>
    <cfRule type="containsText" dxfId="112" priority="261" operator="containsText" text="mt">
      <formula>NOT(ISERROR(SEARCH("mt",J18)))</formula>
    </cfRule>
    <cfRule type="containsText" dxfId="111" priority="262" operator="containsText" text="wt">
      <formula>NOT(ISERROR(SEARCH("wt",J18)))</formula>
    </cfRule>
  </conditionalFormatting>
  <conditionalFormatting sqref="J18:L29">
    <cfRule type="cellIs" dxfId="110" priority="259" operator="equal">
      <formula>"?"</formula>
    </cfRule>
  </conditionalFormatting>
  <conditionalFormatting sqref="M18:P29">
    <cfRule type="containsText" dxfId="109" priority="257" operator="containsText" text="YES">
      <formula>NOT(ISERROR(SEARCH("YES",M18)))</formula>
    </cfRule>
    <cfRule type="containsText" dxfId="108" priority="258" operator="containsText" text="NO">
      <formula>NOT(ISERROR(SEARCH("NO",M18)))</formula>
    </cfRule>
  </conditionalFormatting>
  <conditionalFormatting sqref="M18:P29">
    <cfRule type="containsText" dxfId="107" priority="240" operator="containsText" text="YES?">
      <formula>NOT(ISERROR(SEARCH("YES?",M18)))</formula>
    </cfRule>
  </conditionalFormatting>
  <conditionalFormatting sqref="J30:L31">
    <cfRule type="containsText" dxfId="106" priority="174" operator="containsText" text="ht">
      <formula>NOT(ISERROR(SEARCH("ht",J30)))</formula>
    </cfRule>
    <cfRule type="containsText" dxfId="105" priority="175" operator="containsText" text="mt">
      <formula>NOT(ISERROR(SEARCH("mt",J30)))</formula>
    </cfRule>
    <cfRule type="containsText" dxfId="104" priority="176" operator="containsText" text="wt">
      <formula>NOT(ISERROR(SEARCH("wt",J30)))</formula>
    </cfRule>
  </conditionalFormatting>
  <conditionalFormatting sqref="J30:L31">
    <cfRule type="cellIs" dxfId="103" priority="173" operator="equal">
      <formula>"?"</formula>
    </cfRule>
  </conditionalFormatting>
  <conditionalFormatting sqref="M30:P31">
    <cfRule type="containsText" dxfId="102" priority="171" operator="containsText" text="YES">
      <formula>NOT(ISERROR(SEARCH("YES",M30)))</formula>
    </cfRule>
    <cfRule type="containsText" dxfId="101" priority="172" operator="containsText" text="NO">
      <formula>NOT(ISERROR(SEARCH("NO",M30)))</formula>
    </cfRule>
  </conditionalFormatting>
  <conditionalFormatting sqref="M30:P31">
    <cfRule type="containsText" dxfId="100" priority="154" operator="containsText" text="YES?">
      <formula>NOT(ISERROR(SEARCH("YES?",M30)))</formula>
    </cfRule>
  </conditionalFormatting>
  <conditionalFormatting sqref="M37:M51">
    <cfRule type="containsText" dxfId="99" priority="379" operator="containsText" text="ht">
      <formula>NOT(ISERROR(SEARCH("ht",#REF!)))</formula>
    </cfRule>
    <cfRule type="containsText" dxfId="98" priority="380" operator="containsText" text="mt">
      <formula>NOT(ISERROR(SEARCH("mt",#REF!)))</formula>
    </cfRule>
    <cfRule type="containsText" dxfId="97" priority="381" operator="containsText" text="wt">
      <formula>NOT(ISERROR(SEARCH("wt",#REF!)))</formula>
    </cfRule>
  </conditionalFormatting>
  <conditionalFormatting sqref="M8:P11">
    <cfRule type="containsText" dxfId="96" priority="451" operator="containsText" text="ht">
      <formula>NOT(ISERROR(SEARCH("ht",#REF!)))</formula>
    </cfRule>
    <cfRule type="containsText" dxfId="95" priority="452" operator="containsText" text="mt">
      <formula>NOT(ISERROR(SEARCH("mt",#REF!)))</formula>
    </cfRule>
    <cfRule type="containsText" dxfId="94" priority="453" operator="containsText" text="wt">
      <formula>NOT(ISERROR(SEARCH("wt",#REF!)))</formula>
    </cfRule>
  </conditionalFormatting>
  <conditionalFormatting sqref="M12:P17">
    <cfRule type="containsText" dxfId="93" priority="300" operator="containsText" text="ht">
      <formula>NOT(ISERROR(SEARCH("ht",#REF!)))</formula>
    </cfRule>
    <cfRule type="containsText" dxfId="92" priority="301" operator="containsText" text="mt">
      <formula>NOT(ISERROR(SEARCH("mt",#REF!)))</formula>
    </cfRule>
    <cfRule type="containsText" dxfId="91" priority="302" operator="containsText" text="wt">
      <formula>NOT(ISERROR(SEARCH("wt",#REF!)))</formula>
    </cfRule>
  </conditionalFormatting>
  <conditionalFormatting sqref="M18:P29">
    <cfRule type="containsText" dxfId="90" priority="263" operator="containsText" text="ht">
      <formula>NOT(ISERROR(SEARCH("ht",#REF!)))</formula>
    </cfRule>
    <cfRule type="containsText" dxfId="89" priority="264" operator="containsText" text="mt">
      <formula>NOT(ISERROR(SEARCH("mt",#REF!)))</formula>
    </cfRule>
    <cfRule type="containsText" dxfId="88" priority="265" operator="containsText" text="wt">
      <formula>NOT(ISERROR(SEARCH("wt",#REF!)))</formula>
    </cfRule>
  </conditionalFormatting>
  <conditionalFormatting sqref="M30:P31">
    <cfRule type="containsText" dxfId="87" priority="177" operator="containsText" text="ht">
      <formula>NOT(ISERROR(SEARCH("ht",#REF!)))</formula>
    </cfRule>
    <cfRule type="containsText" dxfId="86" priority="178" operator="containsText" text="mt">
      <formula>NOT(ISERROR(SEARCH("mt",#REF!)))</formula>
    </cfRule>
    <cfRule type="containsText" dxfId="85" priority="179" operator="containsText" text="wt">
      <formula>NOT(ISERROR(SEARCH("wt",#REF!)))</formula>
    </cfRule>
  </conditionalFormatting>
  <conditionalFormatting sqref="J32:L36">
    <cfRule type="containsText" dxfId="84" priority="126" operator="containsText" text="ht">
      <formula>NOT(ISERROR(SEARCH("ht",J32)))</formula>
    </cfRule>
    <cfRule type="containsText" dxfId="83" priority="127" operator="containsText" text="mt">
      <formula>NOT(ISERROR(SEARCH("mt",J32)))</formula>
    </cfRule>
    <cfRule type="containsText" dxfId="82" priority="128" operator="containsText" text="wt">
      <formula>NOT(ISERROR(SEARCH("wt",J32)))</formula>
    </cfRule>
  </conditionalFormatting>
  <conditionalFormatting sqref="J32:L36">
    <cfRule type="cellIs" dxfId="81" priority="125" operator="equal">
      <formula>"?"</formula>
    </cfRule>
  </conditionalFormatting>
  <conditionalFormatting sqref="M32:P36">
    <cfRule type="containsText" dxfId="80" priority="123" operator="containsText" text="YES">
      <formula>NOT(ISERROR(SEARCH("YES",M32)))</formula>
    </cfRule>
    <cfRule type="containsText" dxfId="79" priority="124" operator="containsText" text="NO">
      <formula>NOT(ISERROR(SEARCH("NO",M32)))</formula>
    </cfRule>
  </conditionalFormatting>
  <conditionalFormatting sqref="M32:P36">
    <cfRule type="containsText" dxfId="78" priority="106" operator="containsText" text="YES?">
      <formula>NOT(ISERROR(SEARCH("YES?",M32)))</formula>
    </cfRule>
  </conditionalFormatting>
  <conditionalFormatting sqref="M32:P36">
    <cfRule type="containsText" dxfId="77" priority="129" operator="containsText" text="ht">
      <formula>NOT(ISERROR(SEARCH("ht",#REF!)))</formula>
    </cfRule>
    <cfRule type="containsText" dxfId="76" priority="130" operator="containsText" text="mt">
      <formula>NOT(ISERROR(SEARCH("mt",#REF!)))</formula>
    </cfRule>
    <cfRule type="containsText" dxfId="75" priority="131" operator="containsText" text="wt">
      <formula>NOT(ISERROR(SEARCH("wt",#REF!)))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zoomScale="90" zoomScaleNormal="90" workbookViewId="0">
      <selection activeCell="W1" sqref="W1"/>
    </sheetView>
  </sheetViews>
  <sheetFormatPr defaultColWidth="8.85546875" defaultRowHeight="15" x14ac:dyDescent="0.25"/>
  <cols>
    <col min="2" max="2" width="32" customWidth="1"/>
    <col min="4" max="4" width="44.42578125" bestFit="1" customWidth="1"/>
    <col min="5" max="5" width="10" bestFit="1" customWidth="1"/>
  </cols>
  <sheetData>
    <row r="1" spans="1:5" x14ac:dyDescent="0.25">
      <c r="A1" s="64" t="str">
        <f>All!D6</f>
        <v>LS No</v>
      </c>
      <c r="B1" s="64" t="str">
        <f>All!E6</f>
        <v>Strain</v>
      </c>
      <c r="C1" s="64" t="s">
        <v>13</v>
      </c>
      <c r="D1" s="64" t="s">
        <v>89</v>
      </c>
      <c r="E1" s="64" t="str">
        <f>All!H6</f>
        <v>Date</v>
      </c>
    </row>
    <row r="2" spans="1:5" x14ac:dyDescent="0.25">
      <c r="A2" t="str">
        <f>All!D7</f>
        <v>LS09</v>
      </c>
      <c r="B2" t="str">
        <f>All!E7</f>
        <v>hapln1a prom241/+ (F2s) InX</v>
      </c>
      <c r="C2" t="str">
        <f>All!F7</f>
        <v>72-74</v>
      </c>
      <c r="D2" t="str">
        <f>All!G7</f>
        <v>None</v>
      </c>
      <c r="E2" s="18">
        <f>All!H7</f>
        <v>43861</v>
      </c>
    </row>
    <row r="3" spans="1:5" x14ac:dyDescent="0.25">
      <c r="A3">
        <f>All!D8</f>
        <v>0</v>
      </c>
      <c r="B3">
        <f>All!E8</f>
        <v>0</v>
      </c>
      <c r="C3">
        <f>All!F8</f>
        <v>0</v>
      </c>
      <c r="D3">
        <f>All!G8</f>
        <v>0</v>
      </c>
      <c r="E3" s="18">
        <f>All!H8</f>
        <v>0</v>
      </c>
    </row>
    <row r="4" spans="1:5" x14ac:dyDescent="0.25">
      <c r="A4">
        <f>All!D9</f>
        <v>0</v>
      </c>
      <c r="B4">
        <f>All!E9</f>
        <v>0</v>
      </c>
      <c r="C4">
        <f>All!F9</f>
        <v>0</v>
      </c>
      <c r="D4">
        <f>All!G9</f>
        <v>0</v>
      </c>
      <c r="E4" s="18">
        <f>All!H9</f>
        <v>0</v>
      </c>
    </row>
    <row r="5" spans="1:5" x14ac:dyDescent="0.25">
      <c r="A5">
        <f>All!D10</f>
        <v>0</v>
      </c>
      <c r="B5">
        <f>All!E10</f>
        <v>0</v>
      </c>
      <c r="C5">
        <f>All!F10</f>
        <v>0</v>
      </c>
      <c r="D5">
        <f>All!G10</f>
        <v>0</v>
      </c>
      <c r="E5" s="18">
        <f>All!H10</f>
        <v>0</v>
      </c>
    </row>
    <row r="6" spans="1:5" x14ac:dyDescent="0.25">
      <c r="A6">
        <f>All!D11</f>
        <v>0</v>
      </c>
      <c r="B6">
        <f>All!E11</f>
        <v>0</v>
      </c>
      <c r="C6">
        <f>All!F11</f>
        <v>0</v>
      </c>
      <c r="D6">
        <f>All!G11</f>
        <v>0</v>
      </c>
      <c r="E6" s="18">
        <f>All!H11</f>
        <v>0</v>
      </c>
    </row>
    <row r="7" spans="1:5" x14ac:dyDescent="0.25">
      <c r="A7">
        <f>All!D12</f>
        <v>0</v>
      </c>
      <c r="B7">
        <f>All!E12</f>
        <v>0</v>
      </c>
      <c r="C7">
        <f>All!F12</f>
        <v>0</v>
      </c>
      <c r="D7">
        <f>All!G12</f>
        <v>0</v>
      </c>
      <c r="E7" s="18">
        <f>All!H12</f>
        <v>0</v>
      </c>
    </row>
    <row r="8" spans="1:5" x14ac:dyDescent="0.25">
      <c r="A8">
        <f>All!D13</f>
        <v>0</v>
      </c>
      <c r="B8">
        <f>All!E13</f>
        <v>0</v>
      </c>
      <c r="C8">
        <f>All!F13</f>
        <v>0</v>
      </c>
      <c r="D8">
        <f>All!G13</f>
        <v>0</v>
      </c>
      <c r="E8" s="18">
        <f>All!H13</f>
        <v>0</v>
      </c>
    </row>
    <row r="9" spans="1:5" x14ac:dyDescent="0.25">
      <c r="A9">
        <f>All!D14</f>
        <v>0</v>
      </c>
      <c r="B9">
        <f>All!E14</f>
        <v>0</v>
      </c>
      <c r="C9">
        <f>All!F14</f>
        <v>0</v>
      </c>
      <c r="D9">
        <f>All!G14</f>
        <v>0</v>
      </c>
      <c r="E9" s="18">
        <f>All!H14</f>
        <v>0</v>
      </c>
    </row>
    <row r="10" spans="1:5" x14ac:dyDescent="0.25">
      <c r="A10">
        <f>All!D15</f>
        <v>0</v>
      </c>
      <c r="B10">
        <f>All!E15</f>
        <v>0</v>
      </c>
      <c r="C10">
        <f>All!F15</f>
        <v>0</v>
      </c>
      <c r="D10">
        <f>All!G15</f>
        <v>0</v>
      </c>
      <c r="E10" s="18">
        <f>All!H15</f>
        <v>0</v>
      </c>
    </row>
    <row r="11" spans="1:5" x14ac:dyDescent="0.25">
      <c r="A11">
        <f>All!D16</f>
        <v>0</v>
      </c>
      <c r="B11">
        <f>All!E16</f>
        <v>0</v>
      </c>
      <c r="C11">
        <f>All!F16</f>
        <v>0</v>
      </c>
      <c r="D11">
        <f>All!G16</f>
        <v>0</v>
      </c>
      <c r="E11" s="18">
        <f>All!H16</f>
        <v>0</v>
      </c>
    </row>
    <row r="12" spans="1:5" x14ac:dyDescent="0.25">
      <c r="A12">
        <f>All!D17</f>
        <v>0</v>
      </c>
      <c r="B12">
        <f>All!E17</f>
        <v>0</v>
      </c>
      <c r="C12">
        <f>All!F17</f>
        <v>0</v>
      </c>
      <c r="D12">
        <f>All!G17</f>
        <v>0</v>
      </c>
      <c r="E12" s="18">
        <f>All!H17</f>
        <v>0</v>
      </c>
    </row>
    <row r="13" spans="1:5" x14ac:dyDescent="0.25">
      <c r="A13">
        <f>All!D19</f>
        <v>0</v>
      </c>
      <c r="B13">
        <f>All!E19</f>
        <v>0</v>
      </c>
      <c r="C13">
        <f>All!F19</f>
        <v>0</v>
      </c>
      <c r="D13">
        <f>All!G19</f>
        <v>0</v>
      </c>
      <c r="E13" s="18">
        <f>All!H19</f>
        <v>0</v>
      </c>
    </row>
    <row r="14" spans="1:5" x14ac:dyDescent="0.25">
      <c r="A14">
        <f>All!D20</f>
        <v>0</v>
      </c>
      <c r="B14">
        <f>All!E20</f>
        <v>0</v>
      </c>
      <c r="C14">
        <f>All!F20</f>
        <v>0</v>
      </c>
      <c r="D14">
        <f>All!G20</f>
        <v>0</v>
      </c>
      <c r="E14" s="18">
        <f>All!H20</f>
        <v>0</v>
      </c>
    </row>
    <row r="15" spans="1:5" x14ac:dyDescent="0.25">
      <c r="A15">
        <f>All!D21</f>
        <v>0</v>
      </c>
      <c r="B15">
        <f>All!E21</f>
        <v>0</v>
      </c>
      <c r="C15">
        <f>All!F21</f>
        <v>0</v>
      </c>
      <c r="D15">
        <f>All!G21</f>
        <v>0</v>
      </c>
      <c r="E15" s="18">
        <f>All!H21</f>
        <v>0</v>
      </c>
    </row>
    <row r="16" spans="1:5" x14ac:dyDescent="0.25">
      <c r="A16">
        <f>All!D22</f>
        <v>0</v>
      </c>
      <c r="B16">
        <f>All!E22</f>
        <v>0</v>
      </c>
      <c r="C16">
        <f>All!F22</f>
        <v>0</v>
      </c>
      <c r="D16">
        <f>All!G22</f>
        <v>0</v>
      </c>
      <c r="E16" s="18">
        <f>All!H22</f>
        <v>0</v>
      </c>
    </row>
    <row r="17" spans="1:5" x14ac:dyDescent="0.25">
      <c r="A17">
        <f>All!D23</f>
        <v>0</v>
      </c>
      <c r="B17">
        <f>All!E23</f>
        <v>0</v>
      </c>
      <c r="C17">
        <f>All!F23</f>
        <v>0</v>
      </c>
      <c r="D17">
        <f>All!G23</f>
        <v>0</v>
      </c>
      <c r="E17" s="18">
        <f>All!H23</f>
        <v>0</v>
      </c>
    </row>
    <row r="18" spans="1:5" x14ac:dyDescent="0.25">
      <c r="A18">
        <f>All!D24</f>
        <v>0</v>
      </c>
      <c r="B18">
        <f>All!E24</f>
        <v>0</v>
      </c>
      <c r="C18">
        <f>All!F24</f>
        <v>0</v>
      </c>
      <c r="D18">
        <f>All!G24</f>
        <v>0</v>
      </c>
      <c r="E18" s="18">
        <f>All!H24</f>
        <v>0</v>
      </c>
    </row>
    <row r="19" spans="1:5" x14ac:dyDescent="0.25">
      <c r="A19">
        <f>All!D25</f>
        <v>0</v>
      </c>
      <c r="B19">
        <f>All!E25</f>
        <v>0</v>
      </c>
      <c r="C19">
        <f>All!F25</f>
        <v>0</v>
      </c>
      <c r="D19">
        <f>All!G25</f>
        <v>0</v>
      </c>
      <c r="E19" s="18">
        <f>All!H25</f>
        <v>0</v>
      </c>
    </row>
    <row r="20" spans="1:5" x14ac:dyDescent="0.25">
      <c r="A20">
        <f>All!D26</f>
        <v>0</v>
      </c>
      <c r="B20">
        <f>All!E26</f>
        <v>0</v>
      </c>
      <c r="C20">
        <f>All!F26</f>
        <v>0</v>
      </c>
      <c r="D20">
        <f>All!G26</f>
        <v>0</v>
      </c>
      <c r="E20" s="18">
        <f>All!H26</f>
        <v>0</v>
      </c>
    </row>
    <row r="21" spans="1:5" x14ac:dyDescent="0.25">
      <c r="A21">
        <f>All!D27</f>
        <v>0</v>
      </c>
      <c r="B21">
        <f>All!E27</f>
        <v>0</v>
      </c>
      <c r="C21">
        <f>All!F27</f>
        <v>0</v>
      </c>
      <c r="D21">
        <f>All!G27</f>
        <v>0</v>
      </c>
      <c r="E21" s="18">
        <f>All!H27</f>
        <v>0</v>
      </c>
    </row>
    <row r="22" spans="1:5" x14ac:dyDescent="0.25">
      <c r="A22">
        <f>All!D28</f>
        <v>0</v>
      </c>
      <c r="B22">
        <f>All!E28</f>
        <v>0</v>
      </c>
      <c r="C22">
        <f>All!F28</f>
        <v>0</v>
      </c>
      <c r="D22">
        <f>All!G28</f>
        <v>0</v>
      </c>
      <c r="E22" s="18">
        <f>All!H28</f>
        <v>0</v>
      </c>
    </row>
    <row r="23" spans="1:5" x14ac:dyDescent="0.25">
      <c r="A23">
        <f>All!D29</f>
        <v>0</v>
      </c>
      <c r="B23">
        <f>All!E29</f>
        <v>0</v>
      </c>
      <c r="C23">
        <f>All!F29</f>
        <v>0</v>
      </c>
      <c r="D23">
        <f>All!G29</f>
        <v>0</v>
      </c>
      <c r="E23" s="18">
        <f>All!H29</f>
        <v>0</v>
      </c>
    </row>
    <row r="24" spans="1:5" x14ac:dyDescent="0.25">
      <c r="A24">
        <f>All!D30</f>
        <v>0</v>
      </c>
      <c r="B24">
        <f>All!E30</f>
        <v>0</v>
      </c>
      <c r="C24">
        <f>All!F30</f>
        <v>0</v>
      </c>
      <c r="D24">
        <f>All!G30</f>
        <v>0</v>
      </c>
      <c r="E24" s="18">
        <f>All!H30</f>
        <v>0</v>
      </c>
    </row>
    <row r="25" spans="1:5" x14ac:dyDescent="0.25">
      <c r="A25">
        <f>All!D31</f>
        <v>0</v>
      </c>
      <c r="B25">
        <f>All!E31</f>
        <v>0</v>
      </c>
      <c r="C25">
        <f>All!F31</f>
        <v>0</v>
      </c>
      <c r="D25">
        <f>All!G31</f>
        <v>0</v>
      </c>
      <c r="E25" s="18">
        <f>All!H31</f>
        <v>0</v>
      </c>
    </row>
    <row r="26" spans="1:5" x14ac:dyDescent="0.25">
      <c r="A26">
        <f>All!D32</f>
        <v>0</v>
      </c>
      <c r="B26">
        <f>All!E32</f>
        <v>0</v>
      </c>
      <c r="C26">
        <f>All!F32</f>
        <v>0</v>
      </c>
      <c r="D26">
        <f>All!G32</f>
        <v>0</v>
      </c>
      <c r="E26" s="18">
        <f>All!H32</f>
        <v>0</v>
      </c>
    </row>
    <row r="27" spans="1:5" x14ac:dyDescent="0.25">
      <c r="A27">
        <f>All!D33</f>
        <v>0</v>
      </c>
      <c r="B27">
        <f>All!E33</f>
        <v>0</v>
      </c>
      <c r="C27">
        <f>All!F33</f>
        <v>0</v>
      </c>
      <c r="D27">
        <f>All!G33</f>
        <v>0</v>
      </c>
      <c r="E27" s="18">
        <f>All!H33</f>
        <v>0</v>
      </c>
    </row>
    <row r="28" spans="1:5" x14ac:dyDescent="0.25">
      <c r="A28">
        <f>All!D34</f>
        <v>0</v>
      </c>
      <c r="B28">
        <f>All!E34</f>
        <v>0</v>
      </c>
      <c r="C28">
        <f>All!F34</f>
        <v>0</v>
      </c>
      <c r="D28">
        <f>All!G34</f>
        <v>0</v>
      </c>
      <c r="E28" s="18">
        <f>All!H34</f>
        <v>0</v>
      </c>
    </row>
    <row r="29" spans="1:5" x14ac:dyDescent="0.25">
      <c r="A29">
        <f>All!D35</f>
        <v>0</v>
      </c>
      <c r="B29">
        <f>All!E35</f>
        <v>0</v>
      </c>
      <c r="C29">
        <f>All!F35</f>
        <v>0</v>
      </c>
      <c r="D29">
        <f>All!G35</f>
        <v>0</v>
      </c>
      <c r="E29" s="18">
        <f>All!H35</f>
        <v>0</v>
      </c>
    </row>
    <row r="30" spans="1:5" x14ac:dyDescent="0.25">
      <c r="A30">
        <f>All!D36</f>
        <v>0</v>
      </c>
      <c r="B30">
        <f>All!E36</f>
        <v>0</v>
      </c>
      <c r="C30">
        <f>All!F36</f>
        <v>0</v>
      </c>
      <c r="D30">
        <f>All!G36</f>
        <v>0</v>
      </c>
      <c r="E30" s="18">
        <f>All!H36</f>
        <v>0</v>
      </c>
    </row>
    <row r="31" spans="1:5" x14ac:dyDescent="0.25">
      <c r="A31">
        <f>All!D37</f>
        <v>0</v>
      </c>
      <c r="B31">
        <f>All!E37</f>
        <v>0</v>
      </c>
      <c r="C31">
        <f>All!F37</f>
        <v>0</v>
      </c>
      <c r="D31">
        <f>All!G37</f>
        <v>0</v>
      </c>
      <c r="E31" s="18">
        <f>All!H37</f>
        <v>0</v>
      </c>
    </row>
    <row r="32" spans="1:5" x14ac:dyDescent="0.25">
      <c r="A32">
        <f>All!D38</f>
        <v>0</v>
      </c>
      <c r="B32">
        <f>All!E38</f>
        <v>0</v>
      </c>
      <c r="C32">
        <f>All!F38</f>
        <v>0</v>
      </c>
      <c r="D32">
        <f>All!G38</f>
        <v>0</v>
      </c>
      <c r="E32" s="18">
        <f>All!H38</f>
        <v>0</v>
      </c>
    </row>
    <row r="33" spans="1:5" x14ac:dyDescent="0.25">
      <c r="A33">
        <f>All!D39</f>
        <v>0</v>
      </c>
      <c r="B33">
        <f>All!E39</f>
        <v>0</v>
      </c>
      <c r="C33">
        <f>All!F39</f>
        <v>0</v>
      </c>
      <c r="D33">
        <f>All!G39</f>
        <v>0</v>
      </c>
      <c r="E33" s="18">
        <f>All!H39</f>
        <v>0</v>
      </c>
    </row>
    <row r="34" spans="1:5" x14ac:dyDescent="0.25">
      <c r="A34">
        <f>All!D40</f>
        <v>0</v>
      </c>
      <c r="B34">
        <f>All!E40</f>
        <v>0</v>
      </c>
      <c r="C34">
        <f>All!F40</f>
        <v>0</v>
      </c>
      <c r="D34">
        <f>All!G40</f>
        <v>0</v>
      </c>
      <c r="E34" s="18">
        <f>All!H40</f>
        <v>0</v>
      </c>
    </row>
    <row r="35" spans="1:5" x14ac:dyDescent="0.25">
      <c r="A35">
        <f>All!D41</f>
        <v>0</v>
      </c>
      <c r="B35">
        <f>All!E41</f>
        <v>0</v>
      </c>
      <c r="C35">
        <f>All!F41</f>
        <v>0</v>
      </c>
      <c r="D35">
        <f>All!G41</f>
        <v>0</v>
      </c>
      <c r="E35" s="18">
        <f>All!H41</f>
        <v>0</v>
      </c>
    </row>
    <row r="36" spans="1:5" x14ac:dyDescent="0.25">
      <c r="A36">
        <f>All!D42</f>
        <v>0</v>
      </c>
      <c r="B36">
        <f>All!E42</f>
        <v>0</v>
      </c>
      <c r="C36">
        <f>All!F42</f>
        <v>0</v>
      </c>
      <c r="D36">
        <f>All!G42</f>
        <v>0</v>
      </c>
      <c r="E36" s="18">
        <f>All!H42</f>
        <v>0</v>
      </c>
    </row>
    <row r="37" spans="1:5" x14ac:dyDescent="0.25">
      <c r="A37">
        <f>All!D43</f>
        <v>0</v>
      </c>
      <c r="B37">
        <f>All!E43</f>
        <v>0</v>
      </c>
      <c r="C37">
        <f>All!F43</f>
        <v>0</v>
      </c>
      <c r="D37">
        <f>All!G43</f>
        <v>0</v>
      </c>
      <c r="E37" s="18">
        <f>All!H43</f>
        <v>0</v>
      </c>
    </row>
    <row r="38" spans="1:5" x14ac:dyDescent="0.25">
      <c r="A38">
        <f>All!D44</f>
        <v>0</v>
      </c>
      <c r="B38">
        <f>All!E44</f>
        <v>0</v>
      </c>
      <c r="C38">
        <f>All!F44</f>
        <v>0</v>
      </c>
      <c r="D38">
        <f>All!G44</f>
        <v>0</v>
      </c>
      <c r="E38" s="18">
        <f>All!H44</f>
        <v>0</v>
      </c>
    </row>
    <row r="39" spans="1:5" x14ac:dyDescent="0.25">
      <c r="A39">
        <f>All!D45</f>
        <v>0</v>
      </c>
      <c r="B39">
        <f>All!E45</f>
        <v>0</v>
      </c>
      <c r="C39">
        <f>All!F45</f>
        <v>0</v>
      </c>
      <c r="D39">
        <f>All!G45</f>
        <v>0</v>
      </c>
      <c r="E39" s="18">
        <f>All!H45</f>
        <v>0</v>
      </c>
    </row>
  </sheetData>
  <conditionalFormatting sqref="E2:E39">
    <cfRule type="containsText" dxfId="74" priority="1" operator="containsText" text="ht">
      <formula>NOT(ISERROR(SEARCH("ht",#REF!)))</formula>
    </cfRule>
    <cfRule type="containsText" dxfId="73" priority="2" operator="containsText" text="mt">
      <formula>NOT(ISERROR(SEARCH("mt",#REF!)))</formula>
    </cfRule>
    <cfRule type="containsText" dxfId="72" priority="3" operator="containsText" text="wt">
      <formula>NOT(ISERROR(SEARCH("wt",#REF!)))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3"/>
  <sheetViews>
    <sheetView zoomScale="80" zoomScaleNormal="80" workbookViewId="0">
      <selection activeCell="AB36" sqref="AB36"/>
    </sheetView>
  </sheetViews>
  <sheetFormatPr defaultColWidth="9.140625" defaultRowHeight="15" x14ac:dyDescent="0.25"/>
  <cols>
    <col min="1" max="16384" width="9.140625" style="55"/>
  </cols>
  <sheetData>
    <row r="1" spans="1:62" x14ac:dyDescent="0.25">
      <c r="A1" s="65" t="s">
        <v>90</v>
      </c>
    </row>
    <row r="2" spans="1:62" s="65" customFormat="1" x14ac:dyDescent="0.25">
      <c r="A2" s="4" t="s">
        <v>21</v>
      </c>
      <c r="B2" s="4" t="str">
        <f>'LS09'!AN3</f>
        <v>LS09</v>
      </c>
      <c r="C2" s="66"/>
      <c r="D2" s="4"/>
      <c r="E2" s="66"/>
      <c r="F2" s="4"/>
      <c r="G2" s="66"/>
      <c r="H2" s="4"/>
      <c r="I2" s="66"/>
      <c r="J2" s="4"/>
      <c r="K2" s="66"/>
      <c r="L2" s="4"/>
      <c r="M2" s="66"/>
      <c r="N2" s="4"/>
      <c r="O2" s="66"/>
      <c r="P2" s="4"/>
      <c r="Q2" s="66"/>
      <c r="R2" s="4"/>
      <c r="S2" s="66"/>
      <c r="T2" s="4"/>
      <c r="U2" s="66"/>
      <c r="V2" s="4"/>
      <c r="W2" s="66"/>
      <c r="X2" s="4"/>
      <c r="Y2" s="66"/>
      <c r="Z2" s="4"/>
      <c r="AA2" s="66"/>
      <c r="AB2" s="4"/>
      <c r="AC2" s="66"/>
      <c r="AD2" s="4"/>
      <c r="AE2" s="66"/>
      <c r="AF2" s="4"/>
      <c r="AG2" s="66"/>
      <c r="AH2" s="4"/>
      <c r="AI2" s="66"/>
      <c r="AJ2" s="4"/>
      <c r="AK2" s="66"/>
      <c r="AL2" s="4"/>
      <c r="AM2" s="66"/>
      <c r="AN2" s="4"/>
      <c r="AO2" s="66"/>
      <c r="AP2" s="4"/>
      <c r="AQ2" s="66"/>
      <c r="AR2" s="4"/>
      <c r="AS2" s="66"/>
      <c r="AT2" s="4"/>
      <c r="AU2" s="66"/>
      <c r="AV2" s="4"/>
      <c r="AW2" s="66"/>
      <c r="AX2" s="4"/>
      <c r="AY2" s="66"/>
      <c r="AZ2" s="4"/>
      <c r="BA2" s="66"/>
      <c r="BB2" s="4"/>
      <c r="BC2" s="66"/>
      <c r="BD2" s="4"/>
      <c r="BE2" s="66"/>
      <c r="BF2" s="4"/>
      <c r="BG2" s="66"/>
      <c r="BH2" s="4"/>
      <c r="BI2" s="66"/>
      <c r="BJ2" s="4"/>
    </row>
    <row r="3" spans="1:62" x14ac:dyDescent="0.25">
      <c r="A3" s="4" t="s">
        <v>30</v>
      </c>
      <c r="B3" s="4" t="str">
        <f>'LS09'!AN4</f>
        <v>hapln1a</v>
      </c>
      <c r="C3" s="66"/>
      <c r="D3" s="4"/>
      <c r="E3" s="66"/>
      <c r="F3" s="4"/>
      <c r="G3" s="66"/>
      <c r="H3" s="4"/>
      <c r="I3" s="66"/>
      <c r="J3" s="4"/>
      <c r="K3" s="66"/>
      <c r="L3" s="4"/>
      <c r="M3" s="66"/>
      <c r="N3" s="4"/>
      <c r="O3" s="66"/>
      <c r="P3" s="4"/>
      <c r="Q3" s="66"/>
      <c r="R3" s="4"/>
      <c r="S3" s="66"/>
      <c r="T3" s="4"/>
      <c r="U3" s="66"/>
      <c r="V3" s="4"/>
      <c r="W3" s="66"/>
      <c r="X3" s="4"/>
      <c r="Y3" s="66"/>
      <c r="Z3" s="4"/>
      <c r="AA3" s="23"/>
      <c r="AB3" s="3"/>
      <c r="AC3" s="23"/>
      <c r="AD3" s="3"/>
      <c r="AE3" s="23"/>
      <c r="AF3" s="3"/>
      <c r="AG3" s="23"/>
      <c r="AH3" s="3"/>
      <c r="AI3" s="23"/>
      <c r="AJ3" s="3"/>
      <c r="AK3" s="23"/>
      <c r="AL3" s="3"/>
      <c r="AM3" s="23"/>
      <c r="AN3" s="3"/>
      <c r="AO3" s="23"/>
      <c r="AP3" s="3"/>
      <c r="AQ3" s="23"/>
      <c r="AR3" s="3"/>
      <c r="AS3" s="23"/>
      <c r="AT3" s="3"/>
      <c r="AU3" s="23"/>
      <c r="AV3" s="3"/>
      <c r="AW3" s="23"/>
      <c r="AX3" s="3"/>
      <c r="AY3" s="23"/>
      <c r="AZ3" s="3"/>
      <c r="BA3" s="23"/>
      <c r="BB3" s="3"/>
      <c r="BC3" s="23"/>
      <c r="BD3" s="3"/>
      <c r="BE3" s="23"/>
      <c r="BF3" s="3"/>
      <c r="BG3" s="23"/>
      <c r="BH3" s="3"/>
      <c r="BI3" s="23"/>
      <c r="BJ3" s="3"/>
    </row>
    <row r="4" spans="1:62" x14ac:dyDescent="0.25">
      <c r="A4" s="3" t="s">
        <v>31</v>
      </c>
      <c r="B4" s="68" t="str">
        <f>'LS09'!AN5</f>
        <v>ht</v>
      </c>
      <c r="C4" s="67"/>
      <c r="D4" s="68"/>
      <c r="E4" s="67"/>
      <c r="F4" s="68"/>
      <c r="G4" s="67"/>
      <c r="H4" s="68"/>
      <c r="I4" s="67"/>
      <c r="J4" s="68"/>
      <c r="K4" s="67"/>
      <c r="L4" s="68"/>
      <c r="M4" s="67"/>
      <c r="N4" s="68"/>
      <c r="O4" s="67"/>
      <c r="P4" s="68"/>
      <c r="Q4" s="67"/>
      <c r="R4" s="68"/>
      <c r="S4" s="67"/>
      <c r="T4" s="68"/>
      <c r="U4" s="67"/>
      <c r="V4" s="68"/>
      <c r="W4" s="67"/>
      <c r="X4" s="68"/>
      <c r="Y4" s="67"/>
      <c r="Z4" s="68"/>
      <c r="AA4" s="67"/>
      <c r="AB4" s="68"/>
      <c r="AC4" s="67"/>
      <c r="AD4" s="68"/>
      <c r="AE4" s="67"/>
      <c r="AF4" s="68"/>
      <c r="AG4" s="67"/>
      <c r="AH4" s="68"/>
      <c r="AI4" s="67"/>
      <c r="AJ4" s="68"/>
      <c r="AK4" s="67"/>
      <c r="AL4" s="68"/>
      <c r="AM4" s="67"/>
      <c r="AN4" s="68"/>
      <c r="AO4" s="67"/>
      <c r="AP4" s="68"/>
      <c r="AQ4" s="67"/>
      <c r="AR4" s="68"/>
      <c r="AS4" s="67"/>
      <c r="AT4" s="68"/>
      <c r="AU4" s="67"/>
      <c r="AV4" s="68"/>
      <c r="AW4" s="67"/>
      <c r="AX4" s="68"/>
      <c r="AY4" s="67"/>
      <c r="AZ4" s="68"/>
      <c r="BA4" s="67"/>
      <c r="BB4" s="68"/>
      <c r="BC4" s="67"/>
      <c r="BD4" s="68"/>
      <c r="BE4" s="67"/>
      <c r="BF4" s="68"/>
      <c r="BG4" s="67"/>
      <c r="BH4" s="68"/>
      <c r="BI4" s="67"/>
    </row>
    <row r="5" spans="1:62" x14ac:dyDescent="0.25">
      <c r="A5" s="3" t="s">
        <v>34</v>
      </c>
      <c r="B5" s="68" t="str">
        <f>'LS09'!AN6</f>
        <v>ht</v>
      </c>
      <c r="C5" s="67"/>
      <c r="D5" s="68"/>
      <c r="E5" s="67"/>
      <c r="F5" s="68"/>
      <c r="G5" s="67"/>
      <c r="H5" s="68"/>
      <c r="I5" s="67"/>
      <c r="J5" s="68"/>
      <c r="K5" s="67"/>
      <c r="L5" s="68"/>
      <c r="M5" s="67"/>
      <c r="N5" s="68"/>
      <c r="O5" s="67"/>
      <c r="P5" s="68"/>
      <c r="Q5" s="67"/>
      <c r="R5" s="68"/>
      <c r="S5" s="67"/>
      <c r="T5" s="68"/>
      <c r="U5" s="67"/>
      <c r="V5" s="68"/>
      <c r="W5" s="67"/>
      <c r="X5" s="68"/>
      <c r="Y5" s="67"/>
      <c r="Z5" s="68"/>
      <c r="AA5" s="67"/>
      <c r="AB5" s="68"/>
      <c r="AC5" s="67"/>
      <c r="AD5" s="68"/>
      <c r="AE5" s="67"/>
      <c r="AF5" s="68"/>
      <c r="AG5" s="67"/>
      <c r="AH5" s="68"/>
      <c r="AI5" s="67"/>
      <c r="AJ5" s="68"/>
      <c r="AK5" s="67"/>
      <c r="AL5" s="68"/>
      <c r="AM5" s="67"/>
      <c r="AN5" s="68"/>
      <c r="AO5" s="67"/>
      <c r="AP5" s="68"/>
      <c r="AQ5" s="67"/>
      <c r="AR5" s="68"/>
      <c r="AS5" s="67"/>
      <c r="AT5" s="68"/>
      <c r="AU5" s="67"/>
      <c r="AV5" s="68"/>
      <c r="AW5" s="67"/>
      <c r="AX5" s="68"/>
      <c r="AY5" s="67"/>
      <c r="AZ5" s="68"/>
      <c r="BA5" s="67"/>
      <c r="BB5" s="68"/>
      <c r="BC5" s="67"/>
      <c r="BD5" s="68"/>
      <c r="BE5" s="67"/>
      <c r="BF5" s="68"/>
      <c r="BG5" s="67"/>
      <c r="BH5" s="68"/>
      <c r="BI5" s="67"/>
    </row>
    <row r="6" spans="1:62" x14ac:dyDescent="0.25">
      <c r="A6" s="3" t="s">
        <v>35</v>
      </c>
      <c r="B6" s="68" t="str">
        <f>'LS09'!AN7</f>
        <v>ht</v>
      </c>
      <c r="C6" s="67"/>
      <c r="D6" s="68"/>
      <c r="E6" s="67"/>
      <c r="F6" s="68"/>
      <c r="G6" s="67"/>
      <c r="H6" s="68"/>
      <c r="I6" s="67"/>
      <c r="J6" s="68"/>
      <c r="K6" s="67"/>
      <c r="L6" s="68"/>
      <c r="M6" s="67"/>
      <c r="N6" s="68"/>
      <c r="O6" s="67"/>
      <c r="P6" s="68"/>
      <c r="Q6" s="67"/>
      <c r="R6" s="68"/>
      <c r="S6" s="67"/>
      <c r="T6" s="68"/>
      <c r="U6" s="67"/>
      <c r="V6" s="68"/>
      <c r="W6" s="67"/>
      <c r="X6" s="68"/>
      <c r="Y6" s="67"/>
      <c r="Z6" s="68"/>
      <c r="AA6" s="67"/>
      <c r="AB6" s="68"/>
      <c r="AC6" s="67"/>
      <c r="AD6" s="68"/>
      <c r="AE6" s="67"/>
      <c r="AF6" s="68"/>
      <c r="AG6" s="67"/>
      <c r="AH6" s="68"/>
      <c r="AI6" s="67"/>
      <c r="AJ6" s="68"/>
      <c r="AK6" s="67"/>
      <c r="AL6" s="68"/>
      <c r="AM6" s="67"/>
      <c r="AN6" s="68"/>
      <c r="AO6" s="67"/>
      <c r="AP6" s="68"/>
      <c r="AQ6" s="67"/>
      <c r="AR6" s="68"/>
      <c r="AS6" s="67"/>
      <c r="AT6" s="68"/>
      <c r="AU6" s="67"/>
      <c r="AV6" s="68"/>
      <c r="AW6" s="67"/>
      <c r="AX6" s="68"/>
      <c r="AY6" s="67"/>
      <c r="AZ6" s="68"/>
      <c r="BA6" s="67"/>
      <c r="BB6" s="68"/>
      <c r="BC6" s="67"/>
      <c r="BD6" s="68"/>
      <c r="BE6" s="67"/>
      <c r="BF6" s="68"/>
      <c r="BG6" s="67"/>
      <c r="BH6" s="68"/>
      <c r="BI6" s="67"/>
    </row>
    <row r="7" spans="1:62" x14ac:dyDescent="0.25">
      <c r="A7" s="3" t="s">
        <v>36</v>
      </c>
      <c r="B7" s="68" t="str">
        <f>'LS09'!AN8</f>
        <v>ht</v>
      </c>
      <c r="C7" s="67"/>
      <c r="D7" s="68"/>
      <c r="E7" s="67"/>
      <c r="F7" s="68"/>
      <c r="G7" s="67"/>
      <c r="H7" s="68"/>
      <c r="I7" s="67"/>
      <c r="J7" s="68"/>
      <c r="K7" s="67"/>
      <c r="L7" s="68"/>
      <c r="M7" s="67"/>
      <c r="N7" s="68"/>
      <c r="O7" s="67"/>
      <c r="P7" s="68"/>
      <c r="Q7" s="67"/>
      <c r="R7" s="68"/>
      <c r="S7" s="67"/>
      <c r="T7" s="68"/>
      <c r="U7" s="67"/>
      <c r="V7" s="68"/>
      <c r="W7" s="67"/>
      <c r="X7" s="68"/>
      <c r="Y7" s="67"/>
      <c r="Z7" s="68"/>
      <c r="AA7" s="67"/>
      <c r="AB7" s="68"/>
      <c r="AC7" s="67"/>
      <c r="AD7" s="68"/>
      <c r="AE7" s="67"/>
      <c r="AF7" s="68"/>
      <c r="AG7" s="67"/>
      <c r="AH7" s="68"/>
      <c r="AI7" s="67"/>
      <c r="AJ7" s="68"/>
      <c r="AK7" s="67"/>
      <c r="AL7" s="68"/>
      <c r="AM7" s="67"/>
      <c r="AN7" s="68"/>
      <c r="AO7" s="67"/>
      <c r="AP7" s="68"/>
      <c r="AQ7" s="67"/>
      <c r="AR7" s="68"/>
      <c r="AS7" s="67"/>
      <c r="AT7" s="68"/>
      <c r="AU7" s="67"/>
      <c r="AV7" s="68"/>
      <c r="AW7" s="67"/>
      <c r="AX7" s="68"/>
      <c r="AY7" s="67"/>
      <c r="AZ7" s="68"/>
      <c r="BA7" s="67"/>
      <c r="BB7" s="68"/>
      <c r="BC7" s="67"/>
      <c r="BD7" s="68"/>
      <c r="BE7" s="67"/>
      <c r="BF7" s="68"/>
      <c r="BG7" s="67"/>
      <c r="BH7" s="68"/>
      <c r="BI7" s="67"/>
    </row>
    <row r="8" spans="1:62" x14ac:dyDescent="0.25">
      <c r="A8" s="3" t="s">
        <v>37</v>
      </c>
      <c r="B8" s="68" t="str">
        <f>'LS09'!AN9</f>
        <v>ht</v>
      </c>
      <c r="C8" s="67"/>
      <c r="D8" s="68"/>
      <c r="E8" s="67"/>
      <c r="F8" s="68"/>
      <c r="G8" s="67"/>
      <c r="H8" s="68"/>
      <c r="I8" s="67"/>
      <c r="J8" s="68"/>
      <c r="K8" s="67"/>
      <c r="L8" s="68"/>
      <c r="M8" s="67"/>
      <c r="N8" s="68"/>
      <c r="O8" s="67"/>
      <c r="P8" s="68"/>
      <c r="Q8" s="67"/>
      <c r="R8" s="68"/>
      <c r="S8" s="67"/>
      <c r="T8" s="68"/>
      <c r="U8" s="67"/>
      <c r="V8" s="68"/>
      <c r="W8" s="67"/>
      <c r="X8" s="68"/>
      <c r="Y8" s="67"/>
      <c r="Z8" s="68"/>
      <c r="AA8" s="67"/>
      <c r="AB8" s="68"/>
      <c r="AC8" s="67"/>
      <c r="AD8" s="68"/>
      <c r="AE8" s="67"/>
      <c r="AF8" s="68"/>
      <c r="AG8" s="67"/>
      <c r="AH8" s="68"/>
      <c r="AI8" s="67"/>
      <c r="AJ8" s="68"/>
      <c r="AK8" s="67"/>
      <c r="AL8" s="68"/>
      <c r="AM8" s="67"/>
      <c r="AN8" s="68"/>
      <c r="AO8" s="67"/>
      <c r="AP8" s="68"/>
      <c r="AQ8" s="67"/>
      <c r="AR8" s="68"/>
      <c r="AS8" s="67"/>
      <c r="AT8" s="68"/>
      <c r="AU8" s="67"/>
      <c r="AV8" s="68"/>
      <c r="AW8" s="67"/>
      <c r="AX8" s="68"/>
      <c r="AY8" s="67"/>
      <c r="AZ8" s="68"/>
      <c r="BA8" s="67"/>
      <c r="BB8" s="68"/>
      <c r="BC8" s="67"/>
      <c r="BD8" s="68"/>
      <c r="BE8" s="67"/>
      <c r="BF8" s="68"/>
      <c r="BG8" s="67"/>
      <c r="BH8" s="68"/>
      <c r="BI8" s="67"/>
    </row>
    <row r="9" spans="1:62" x14ac:dyDescent="0.25">
      <c r="A9" s="3" t="s">
        <v>39</v>
      </c>
      <c r="B9" s="68" t="str">
        <f>'LS09'!AN10</f>
        <v>ht</v>
      </c>
      <c r="C9" s="67"/>
      <c r="D9" s="68"/>
      <c r="E9" s="67"/>
      <c r="F9" s="68"/>
      <c r="G9" s="67"/>
      <c r="H9" s="68"/>
      <c r="I9" s="67"/>
      <c r="J9" s="68"/>
      <c r="K9" s="67"/>
      <c r="L9" s="68"/>
      <c r="M9" s="67"/>
      <c r="N9" s="68"/>
      <c r="O9" s="67"/>
      <c r="P9" s="68"/>
      <c r="Q9" s="67"/>
      <c r="R9" s="68"/>
      <c r="S9" s="67"/>
      <c r="T9" s="68"/>
      <c r="U9" s="67"/>
      <c r="V9" s="68"/>
      <c r="W9" s="67"/>
      <c r="X9" s="68"/>
      <c r="Y9" s="67"/>
      <c r="Z9" s="68"/>
      <c r="AA9" s="67"/>
      <c r="AB9" s="68"/>
      <c r="AC9" s="67"/>
      <c r="AD9" s="68"/>
      <c r="AE9" s="67"/>
      <c r="AF9" s="68"/>
      <c r="AG9" s="67"/>
      <c r="AH9" s="68"/>
      <c r="AI9" s="67"/>
      <c r="AJ9" s="68"/>
      <c r="AK9" s="67"/>
      <c r="AL9" s="68"/>
      <c r="AM9" s="67"/>
      <c r="AN9" s="68"/>
      <c r="AO9" s="67"/>
      <c r="AP9" s="68"/>
      <c r="AQ9" s="67"/>
      <c r="AR9" s="68"/>
      <c r="AS9" s="67"/>
      <c r="AT9" s="68"/>
      <c r="AU9" s="67"/>
      <c r="AV9" s="68"/>
      <c r="AW9" s="67"/>
      <c r="AX9" s="68"/>
      <c r="AY9" s="67"/>
      <c r="AZ9" s="68"/>
      <c r="BA9" s="67"/>
      <c r="BB9" s="68"/>
      <c r="BC9" s="67"/>
      <c r="BD9" s="68"/>
      <c r="BE9" s="67"/>
      <c r="BF9" s="68"/>
      <c r="BG9" s="67"/>
      <c r="BH9" s="68"/>
      <c r="BI9" s="67"/>
    </row>
    <row r="10" spans="1:62" x14ac:dyDescent="0.25">
      <c r="A10" s="3" t="s">
        <v>40</v>
      </c>
      <c r="B10" s="68" t="str">
        <f>'LS09'!AN11</f>
        <v>wt</v>
      </c>
      <c r="C10" s="67"/>
      <c r="D10" s="68"/>
      <c r="E10" s="67"/>
      <c r="F10" s="68"/>
      <c r="G10" s="67"/>
      <c r="H10" s="68"/>
      <c r="I10" s="67"/>
      <c r="J10" s="68"/>
      <c r="K10" s="67"/>
      <c r="L10" s="68"/>
      <c r="M10" s="67"/>
      <c r="N10" s="68"/>
      <c r="O10" s="67"/>
      <c r="P10" s="68"/>
      <c r="Q10" s="67"/>
      <c r="R10" s="68"/>
      <c r="S10" s="67"/>
      <c r="T10" s="68"/>
      <c r="U10" s="67"/>
      <c r="V10" s="68"/>
      <c r="W10" s="67"/>
      <c r="X10" s="68"/>
      <c r="Y10" s="67"/>
      <c r="Z10" s="68"/>
      <c r="AA10" s="67"/>
      <c r="AB10" s="68"/>
      <c r="AC10" s="67"/>
      <c r="AD10" s="68"/>
      <c r="AE10" s="67"/>
      <c r="AF10" s="68"/>
      <c r="AG10" s="67"/>
      <c r="AH10" s="68"/>
      <c r="AI10" s="67"/>
      <c r="AJ10" s="68"/>
      <c r="AK10" s="67"/>
      <c r="AL10" s="68"/>
      <c r="AM10" s="67"/>
      <c r="AN10" s="68"/>
      <c r="AO10" s="67"/>
      <c r="AP10" s="68"/>
      <c r="AQ10" s="67"/>
      <c r="AR10" s="68"/>
      <c r="AS10" s="67"/>
      <c r="AT10" s="68"/>
      <c r="AU10" s="67"/>
      <c r="AV10" s="68"/>
      <c r="AW10" s="67"/>
      <c r="AX10" s="68"/>
      <c r="AY10" s="67"/>
      <c r="AZ10" s="68"/>
      <c r="BA10" s="67"/>
      <c r="BB10" s="68"/>
      <c r="BC10" s="67"/>
      <c r="BD10" s="68"/>
      <c r="BE10" s="67"/>
      <c r="BF10" s="68"/>
      <c r="BG10" s="67"/>
      <c r="BH10" s="68"/>
      <c r="BI10" s="67"/>
    </row>
    <row r="11" spans="1:62" x14ac:dyDescent="0.25">
      <c r="A11" s="3" t="s">
        <v>41</v>
      </c>
      <c r="B11" s="68" t="str">
        <f>'LS09'!AN12</f>
        <v>ht</v>
      </c>
      <c r="C11" s="67"/>
      <c r="D11" s="68"/>
      <c r="E11" s="67"/>
      <c r="F11" s="68"/>
      <c r="G11" s="67"/>
      <c r="H11" s="68"/>
      <c r="I11" s="67"/>
      <c r="J11" s="68"/>
      <c r="K11" s="67"/>
      <c r="L11" s="68"/>
      <c r="M11" s="67"/>
      <c r="N11" s="68"/>
      <c r="O11" s="67"/>
      <c r="P11" s="68"/>
      <c r="Q11" s="67"/>
      <c r="R11" s="68"/>
      <c r="S11" s="67"/>
      <c r="T11" s="68"/>
      <c r="U11" s="67"/>
      <c r="V11" s="68"/>
      <c r="W11" s="67"/>
      <c r="X11" s="68"/>
      <c r="Y11" s="67"/>
      <c r="Z11" s="68"/>
      <c r="AA11" s="67"/>
      <c r="AB11" s="68"/>
      <c r="AC11" s="67"/>
      <c r="AD11" s="68"/>
      <c r="AE11" s="67"/>
      <c r="AF11" s="68"/>
      <c r="AG11" s="67"/>
      <c r="AH11" s="68"/>
      <c r="AI11" s="67"/>
      <c r="AJ11" s="68"/>
      <c r="AK11" s="67"/>
      <c r="AL11" s="68"/>
      <c r="AM11" s="67"/>
      <c r="AN11" s="68"/>
      <c r="AO11" s="67"/>
      <c r="AP11" s="68"/>
      <c r="AQ11" s="67"/>
      <c r="AR11" s="68"/>
      <c r="AS11" s="67"/>
      <c r="AT11" s="68"/>
      <c r="AU11" s="67"/>
      <c r="AV11" s="68"/>
      <c r="AW11" s="67"/>
      <c r="AX11" s="68"/>
      <c r="AY11" s="67"/>
      <c r="AZ11" s="68"/>
      <c r="BA11" s="67"/>
      <c r="BB11" s="68"/>
      <c r="BC11" s="67"/>
      <c r="BD11" s="68"/>
      <c r="BE11" s="67"/>
      <c r="BF11" s="68"/>
      <c r="BG11" s="67"/>
      <c r="BH11" s="68"/>
      <c r="BI11" s="67"/>
    </row>
    <row r="12" spans="1:62" x14ac:dyDescent="0.25">
      <c r="A12" s="3" t="s">
        <v>43</v>
      </c>
      <c r="B12" s="68" t="str">
        <f>'LS09'!AN13</f>
        <v>ht</v>
      </c>
      <c r="C12" s="67"/>
      <c r="D12" s="68"/>
      <c r="E12" s="67"/>
      <c r="F12" s="68"/>
      <c r="G12" s="67"/>
      <c r="H12" s="68"/>
      <c r="I12" s="67"/>
      <c r="J12" s="68"/>
      <c r="K12" s="67"/>
      <c r="L12" s="68"/>
      <c r="M12" s="67"/>
      <c r="N12" s="68"/>
      <c r="O12" s="67"/>
      <c r="P12" s="68"/>
      <c r="Q12" s="67"/>
      <c r="R12" s="68"/>
      <c r="S12" s="67"/>
      <c r="T12" s="68"/>
      <c r="U12" s="67"/>
      <c r="V12" s="68"/>
      <c r="W12" s="67"/>
      <c r="X12" s="68"/>
      <c r="Y12" s="67"/>
      <c r="Z12" s="68"/>
      <c r="AA12" s="67"/>
      <c r="AB12" s="68"/>
      <c r="AC12" s="67"/>
      <c r="AD12" s="68"/>
      <c r="AE12" s="67"/>
      <c r="AF12" s="68"/>
      <c r="AG12" s="67"/>
      <c r="AH12" s="68"/>
      <c r="AI12" s="67"/>
      <c r="AJ12" s="68"/>
      <c r="AK12" s="67"/>
      <c r="AL12" s="68"/>
      <c r="AM12" s="67"/>
      <c r="AN12" s="68"/>
      <c r="AO12" s="67"/>
      <c r="AP12" s="68"/>
      <c r="AQ12" s="67"/>
      <c r="AR12" s="68"/>
      <c r="AS12" s="67"/>
      <c r="AT12" s="68"/>
      <c r="AU12" s="67"/>
      <c r="AV12" s="68"/>
      <c r="AW12" s="67"/>
      <c r="AX12" s="68"/>
      <c r="AY12" s="67"/>
      <c r="AZ12" s="68"/>
      <c r="BA12" s="67"/>
      <c r="BB12" s="68"/>
      <c r="BC12" s="67"/>
      <c r="BD12" s="68"/>
      <c r="BE12" s="67"/>
      <c r="BF12" s="68"/>
      <c r="BG12" s="67"/>
      <c r="BH12" s="68"/>
      <c r="BI12" s="67"/>
    </row>
    <row r="13" spans="1:62" x14ac:dyDescent="0.25">
      <c r="A13" s="3" t="s">
        <v>44</v>
      </c>
      <c r="B13" s="68" t="str">
        <f>'LS09'!AN14</f>
        <v>mt</v>
      </c>
      <c r="C13" s="67"/>
      <c r="D13" s="68"/>
      <c r="E13" s="67"/>
      <c r="F13" s="68"/>
      <c r="G13" s="67"/>
      <c r="H13" s="68"/>
      <c r="I13" s="67"/>
      <c r="J13" s="68"/>
      <c r="K13" s="67"/>
      <c r="L13" s="68"/>
      <c r="M13" s="67"/>
      <c r="N13" s="68"/>
      <c r="O13" s="67"/>
      <c r="P13" s="68"/>
      <c r="Q13" s="67"/>
      <c r="R13" s="68"/>
      <c r="S13" s="67"/>
      <c r="T13" s="68"/>
      <c r="U13" s="67"/>
      <c r="V13" s="68"/>
      <c r="W13" s="67"/>
      <c r="X13" s="68"/>
      <c r="Y13" s="67"/>
      <c r="Z13" s="68"/>
      <c r="AA13" s="67"/>
      <c r="AB13" s="68"/>
      <c r="AC13" s="67"/>
      <c r="AD13" s="68"/>
      <c r="AE13" s="67"/>
      <c r="AF13" s="68"/>
      <c r="AG13" s="67"/>
      <c r="AH13" s="68"/>
      <c r="AI13" s="67"/>
      <c r="AJ13" s="68"/>
      <c r="AK13" s="67"/>
      <c r="AL13" s="68"/>
      <c r="AM13" s="67"/>
      <c r="AN13" s="68"/>
      <c r="AO13" s="67"/>
      <c r="AP13" s="68"/>
      <c r="AQ13" s="67"/>
      <c r="AR13" s="68"/>
      <c r="AS13" s="67"/>
      <c r="AT13" s="68"/>
      <c r="AU13" s="67"/>
      <c r="AV13" s="68"/>
      <c r="AW13" s="67"/>
      <c r="AX13" s="68"/>
      <c r="AY13" s="67"/>
      <c r="AZ13" s="68"/>
      <c r="BA13" s="67"/>
      <c r="BB13" s="68"/>
      <c r="BC13" s="67"/>
      <c r="BD13" s="68"/>
      <c r="BE13" s="67"/>
      <c r="BF13" s="68"/>
      <c r="BG13" s="67"/>
      <c r="BH13" s="68"/>
      <c r="BI13" s="67"/>
    </row>
    <row r="14" spans="1:62" x14ac:dyDescent="0.25">
      <c r="A14" s="3" t="s">
        <v>49</v>
      </c>
      <c r="B14" s="68" t="str">
        <f>'LS09'!AN15</f>
        <v>mt</v>
      </c>
      <c r="C14" s="67"/>
      <c r="D14" s="68"/>
      <c r="E14" s="67"/>
      <c r="F14" s="68"/>
      <c r="G14" s="67"/>
      <c r="H14" s="68"/>
      <c r="I14" s="67"/>
      <c r="J14" s="68"/>
      <c r="K14" s="67"/>
      <c r="L14" s="68"/>
      <c r="M14" s="67"/>
      <c r="N14" s="68"/>
      <c r="O14" s="67"/>
      <c r="P14" s="68"/>
      <c r="Q14" s="67"/>
      <c r="R14" s="68"/>
      <c r="S14" s="67"/>
      <c r="T14" s="68"/>
      <c r="U14" s="67"/>
      <c r="V14" s="68"/>
      <c r="W14" s="67"/>
      <c r="X14" s="68"/>
      <c r="Y14" s="67"/>
      <c r="Z14" s="68"/>
      <c r="AA14" s="67"/>
      <c r="AB14" s="68"/>
      <c r="AC14" s="67"/>
      <c r="AD14" s="68"/>
      <c r="AE14" s="67"/>
      <c r="AF14" s="68"/>
      <c r="AG14" s="67"/>
      <c r="AH14" s="68"/>
      <c r="AI14" s="67"/>
      <c r="AJ14" s="68"/>
      <c r="AK14" s="67"/>
      <c r="AL14" s="68"/>
      <c r="AM14" s="67"/>
      <c r="AN14" s="68"/>
      <c r="AO14" s="67"/>
      <c r="AP14" s="68"/>
      <c r="AQ14" s="67"/>
      <c r="AR14" s="68"/>
      <c r="AS14" s="67"/>
      <c r="AT14" s="68"/>
      <c r="AU14" s="67"/>
      <c r="AV14" s="68"/>
      <c r="AW14" s="67"/>
      <c r="AX14" s="68"/>
      <c r="AY14" s="67"/>
      <c r="AZ14" s="68"/>
      <c r="BA14" s="67"/>
      <c r="BB14" s="68"/>
      <c r="BC14" s="67"/>
      <c r="BD14" s="68"/>
      <c r="BE14" s="67"/>
      <c r="BF14" s="68"/>
      <c r="BG14" s="67"/>
      <c r="BH14" s="68"/>
      <c r="BI14" s="67"/>
    </row>
    <row r="15" spans="1:62" x14ac:dyDescent="0.25">
      <c r="A15" s="3" t="s">
        <v>51</v>
      </c>
      <c r="B15" s="68" t="str">
        <f>'LS09'!AN16</f>
        <v>wt</v>
      </c>
      <c r="C15" s="67"/>
      <c r="D15" s="68"/>
      <c r="E15" s="67"/>
      <c r="F15" s="68"/>
      <c r="G15" s="67"/>
      <c r="H15" s="68"/>
      <c r="I15" s="67"/>
      <c r="J15" s="68"/>
      <c r="K15" s="67"/>
      <c r="L15" s="68"/>
      <c r="M15" s="67"/>
      <c r="N15" s="68"/>
      <c r="O15" s="67"/>
      <c r="P15" s="68"/>
      <c r="Q15" s="67"/>
      <c r="R15" s="68"/>
      <c r="S15" s="67"/>
      <c r="T15" s="68"/>
      <c r="U15" s="67"/>
      <c r="V15" s="68"/>
      <c r="W15" s="67"/>
      <c r="X15" s="68"/>
      <c r="Y15" s="67"/>
      <c r="Z15" s="68"/>
      <c r="AA15" s="67"/>
      <c r="AB15" s="68"/>
      <c r="AC15" s="67"/>
      <c r="AD15" s="68"/>
      <c r="AE15" s="67"/>
      <c r="AF15" s="68"/>
      <c r="AG15" s="67"/>
      <c r="AH15" s="68"/>
      <c r="AI15" s="67"/>
      <c r="AJ15" s="68"/>
      <c r="AK15" s="67"/>
      <c r="AL15" s="68"/>
      <c r="AM15" s="67"/>
      <c r="AN15" s="68"/>
      <c r="AO15" s="67"/>
      <c r="AP15" s="68"/>
      <c r="AQ15" s="67"/>
      <c r="AR15" s="68"/>
      <c r="AS15" s="67"/>
      <c r="AT15" s="68"/>
      <c r="AU15" s="67"/>
      <c r="AV15" s="68"/>
      <c r="AW15" s="67"/>
      <c r="AX15" s="68"/>
      <c r="AY15" s="67"/>
      <c r="AZ15" s="68"/>
      <c r="BA15" s="67"/>
      <c r="BB15" s="68"/>
      <c r="BC15" s="67"/>
      <c r="BD15" s="68"/>
      <c r="BE15" s="67"/>
      <c r="BF15" s="68"/>
      <c r="BG15" s="67"/>
      <c r="BH15" s="68"/>
      <c r="BI15" s="67"/>
    </row>
    <row r="16" spans="1:62" x14ac:dyDescent="0.25">
      <c r="A16" s="3" t="s">
        <v>52</v>
      </c>
      <c r="B16" s="68" t="str">
        <f>'LS09'!AN17</f>
        <v>ht</v>
      </c>
      <c r="C16" s="67"/>
      <c r="D16" s="68"/>
      <c r="E16" s="67"/>
      <c r="F16" s="68"/>
      <c r="G16" s="67"/>
      <c r="H16" s="68"/>
      <c r="I16" s="67"/>
      <c r="J16" s="68"/>
      <c r="K16" s="67"/>
      <c r="L16" s="68"/>
      <c r="M16" s="67"/>
      <c r="N16" s="68"/>
      <c r="O16" s="67"/>
      <c r="P16" s="68"/>
      <c r="Q16" s="67"/>
      <c r="R16" s="68"/>
      <c r="S16" s="67"/>
      <c r="T16" s="68"/>
      <c r="U16" s="67"/>
      <c r="V16" s="68"/>
      <c r="W16" s="67"/>
      <c r="X16" s="68"/>
      <c r="Y16" s="67"/>
      <c r="Z16" s="68"/>
      <c r="AA16" s="67"/>
      <c r="AB16" s="68"/>
      <c r="AC16" s="67"/>
      <c r="AD16" s="68"/>
      <c r="AE16" s="67"/>
      <c r="AF16" s="68"/>
      <c r="AG16" s="67"/>
      <c r="AH16" s="68"/>
      <c r="AI16" s="67"/>
      <c r="AJ16" s="68"/>
      <c r="AK16" s="67"/>
      <c r="AL16" s="68"/>
      <c r="AM16" s="67"/>
      <c r="AN16" s="68"/>
      <c r="AO16" s="67"/>
      <c r="AP16" s="68"/>
      <c r="AQ16" s="67"/>
      <c r="AR16" s="68"/>
      <c r="AS16" s="67"/>
      <c r="AT16" s="68"/>
      <c r="AU16" s="67"/>
      <c r="AV16" s="68"/>
      <c r="AW16" s="67"/>
      <c r="AX16" s="68"/>
      <c r="AY16" s="67"/>
      <c r="AZ16" s="68"/>
      <c r="BA16" s="67"/>
      <c r="BB16" s="68"/>
      <c r="BC16" s="67"/>
      <c r="BD16" s="68"/>
      <c r="BE16" s="67"/>
      <c r="BF16" s="68"/>
      <c r="BG16" s="67"/>
      <c r="BH16" s="68"/>
      <c r="BI16" s="67"/>
    </row>
    <row r="17" spans="1:61" x14ac:dyDescent="0.25">
      <c r="A17" s="3" t="s">
        <v>53</v>
      </c>
      <c r="B17" s="68" t="str">
        <f>'LS09'!AN18</f>
        <v>ht</v>
      </c>
      <c r="C17" s="67"/>
      <c r="D17" s="68"/>
      <c r="E17" s="67"/>
      <c r="F17" s="68"/>
      <c r="G17" s="67"/>
      <c r="H17" s="68"/>
      <c r="I17" s="67"/>
      <c r="J17" s="68"/>
      <c r="K17" s="67"/>
      <c r="L17" s="68"/>
      <c r="M17" s="67"/>
      <c r="N17" s="68"/>
      <c r="O17" s="67"/>
      <c r="P17" s="68"/>
      <c r="Q17" s="67"/>
      <c r="R17" s="68"/>
      <c r="S17" s="67"/>
      <c r="T17" s="68"/>
      <c r="U17" s="67"/>
      <c r="V17" s="68"/>
      <c r="W17" s="67"/>
      <c r="X17" s="68"/>
      <c r="Y17" s="67"/>
      <c r="Z17" s="68"/>
      <c r="AA17" s="67"/>
      <c r="AB17" s="68"/>
      <c r="AC17" s="67"/>
      <c r="AD17" s="68"/>
      <c r="AE17" s="67"/>
      <c r="AF17" s="68"/>
      <c r="AG17" s="67"/>
      <c r="AH17" s="68"/>
      <c r="AI17" s="67"/>
      <c r="AJ17" s="68"/>
      <c r="AK17" s="67"/>
      <c r="AL17" s="68"/>
      <c r="AM17" s="67"/>
      <c r="AN17" s="68"/>
      <c r="AO17" s="67"/>
      <c r="AP17" s="68"/>
      <c r="AQ17" s="67"/>
      <c r="AR17" s="68"/>
      <c r="AS17" s="67"/>
      <c r="AT17" s="68"/>
      <c r="AU17" s="67"/>
      <c r="AV17" s="68"/>
      <c r="AW17" s="67"/>
      <c r="AX17" s="68"/>
      <c r="AY17" s="67"/>
      <c r="AZ17" s="68"/>
      <c r="BA17" s="67"/>
      <c r="BB17" s="68"/>
      <c r="BC17" s="67"/>
      <c r="BD17" s="68"/>
      <c r="BE17" s="67"/>
      <c r="BF17" s="68"/>
      <c r="BG17" s="67"/>
      <c r="BH17" s="68"/>
      <c r="BI17" s="67"/>
    </row>
    <row r="18" spans="1:61" x14ac:dyDescent="0.25">
      <c r="A18" s="3" t="s">
        <v>54</v>
      </c>
      <c r="B18" s="68" t="str">
        <f>'LS09'!AN19</f>
        <v>wt</v>
      </c>
      <c r="C18" s="67"/>
      <c r="D18" s="68"/>
      <c r="E18" s="67"/>
      <c r="F18" s="68"/>
      <c r="G18" s="67"/>
      <c r="H18" s="68"/>
      <c r="I18" s="67"/>
      <c r="J18" s="68"/>
      <c r="K18" s="67"/>
      <c r="L18" s="68"/>
      <c r="M18" s="67"/>
      <c r="N18" s="68"/>
      <c r="O18" s="67"/>
      <c r="P18" s="68"/>
      <c r="Q18" s="67"/>
      <c r="R18" s="68"/>
      <c r="S18" s="67"/>
      <c r="T18" s="68"/>
      <c r="U18" s="67"/>
      <c r="V18" s="68"/>
      <c r="W18" s="67"/>
      <c r="X18" s="68"/>
      <c r="Y18" s="67"/>
      <c r="Z18" s="68"/>
      <c r="AA18" s="67"/>
      <c r="AB18" s="68"/>
      <c r="AC18" s="67"/>
      <c r="AD18" s="68"/>
      <c r="AE18" s="67"/>
      <c r="AF18" s="68"/>
      <c r="AG18" s="67"/>
      <c r="AH18" s="68"/>
      <c r="AI18" s="67"/>
      <c r="AJ18" s="68"/>
      <c r="AK18" s="67"/>
      <c r="AL18" s="68"/>
      <c r="AM18" s="67"/>
      <c r="AN18" s="68"/>
      <c r="AO18" s="67"/>
      <c r="AP18" s="68"/>
      <c r="AQ18" s="67"/>
      <c r="AR18" s="68"/>
      <c r="AS18" s="67"/>
      <c r="AT18" s="68"/>
      <c r="AU18" s="67"/>
      <c r="AV18" s="68"/>
      <c r="AW18" s="67"/>
      <c r="AX18" s="68"/>
      <c r="AY18" s="67"/>
      <c r="AZ18" s="68"/>
      <c r="BA18" s="67"/>
      <c r="BB18" s="68"/>
      <c r="BC18" s="67"/>
      <c r="BD18" s="68"/>
      <c r="BE18" s="67"/>
      <c r="BF18" s="68"/>
      <c r="BG18" s="67"/>
      <c r="BH18" s="68"/>
      <c r="BI18" s="67"/>
    </row>
    <row r="19" spans="1:61" x14ac:dyDescent="0.25">
      <c r="A19" s="3" t="s">
        <v>56</v>
      </c>
      <c r="B19" s="68" t="str">
        <f>'LS09'!AN20</f>
        <v>ht</v>
      </c>
      <c r="C19" s="67"/>
      <c r="D19" s="68"/>
      <c r="E19" s="67"/>
      <c r="F19" s="68"/>
      <c r="G19" s="67"/>
      <c r="H19" s="68"/>
      <c r="I19" s="67"/>
      <c r="J19" s="68"/>
      <c r="K19" s="67"/>
      <c r="L19" s="68"/>
      <c r="M19" s="67"/>
      <c r="N19" s="68"/>
      <c r="O19" s="67"/>
      <c r="P19" s="68"/>
      <c r="Q19" s="67"/>
      <c r="R19" s="68"/>
      <c r="S19" s="67"/>
      <c r="T19" s="68"/>
      <c r="U19" s="67"/>
      <c r="V19" s="68"/>
      <c r="W19" s="67"/>
      <c r="X19" s="68"/>
      <c r="Y19" s="67"/>
      <c r="Z19" s="68"/>
      <c r="AA19" s="67"/>
      <c r="AB19" s="68"/>
      <c r="AC19" s="67"/>
      <c r="AD19" s="68"/>
      <c r="AE19" s="67"/>
      <c r="AF19" s="68"/>
      <c r="AG19" s="67"/>
      <c r="AH19" s="68"/>
      <c r="AI19" s="67"/>
      <c r="AJ19" s="68"/>
      <c r="AK19" s="67"/>
      <c r="AL19" s="68"/>
      <c r="AM19" s="67"/>
      <c r="AN19" s="68"/>
      <c r="AO19" s="67"/>
      <c r="AP19" s="68"/>
      <c r="AQ19" s="67"/>
      <c r="AR19" s="68"/>
      <c r="AS19" s="67"/>
      <c r="AT19" s="68"/>
      <c r="AU19" s="67"/>
      <c r="AV19" s="68"/>
      <c r="AW19" s="67"/>
      <c r="AX19" s="68"/>
      <c r="AY19" s="67"/>
      <c r="AZ19" s="68"/>
      <c r="BA19" s="67"/>
      <c r="BB19" s="68"/>
      <c r="BC19" s="67"/>
      <c r="BD19" s="68"/>
      <c r="BE19" s="67"/>
      <c r="BF19" s="68"/>
      <c r="BG19" s="67"/>
      <c r="BH19" s="68"/>
      <c r="BI19" s="67"/>
    </row>
    <row r="20" spans="1:61" x14ac:dyDescent="0.25">
      <c r="A20" s="3" t="s">
        <v>57</v>
      </c>
      <c r="B20" s="68" t="str">
        <f>'LS09'!AN21</f>
        <v>wt</v>
      </c>
      <c r="C20" s="67"/>
      <c r="D20" s="68"/>
      <c r="E20" s="67"/>
      <c r="F20" s="68"/>
      <c r="G20" s="67"/>
      <c r="H20" s="68"/>
      <c r="I20" s="67"/>
      <c r="J20" s="68"/>
      <c r="K20" s="67"/>
      <c r="L20" s="68"/>
      <c r="M20" s="67"/>
      <c r="N20" s="68"/>
      <c r="O20" s="67"/>
      <c r="P20" s="68"/>
      <c r="Q20" s="67"/>
      <c r="R20" s="68"/>
      <c r="S20" s="67"/>
      <c r="T20" s="68"/>
      <c r="U20" s="67"/>
      <c r="V20" s="68"/>
      <c r="W20" s="67"/>
      <c r="X20" s="68"/>
      <c r="Y20" s="67"/>
      <c r="Z20" s="68"/>
      <c r="AA20" s="67"/>
      <c r="AB20" s="68"/>
      <c r="AC20" s="67"/>
      <c r="AD20" s="68"/>
      <c r="AE20" s="67"/>
      <c r="AF20" s="68"/>
      <c r="AG20" s="67"/>
      <c r="AH20" s="68"/>
      <c r="AI20" s="67"/>
      <c r="AJ20" s="68"/>
      <c r="AK20" s="67"/>
      <c r="AL20" s="68"/>
      <c r="AM20" s="67"/>
      <c r="AN20" s="68"/>
      <c r="AO20" s="67"/>
      <c r="AP20" s="68"/>
      <c r="AQ20" s="67"/>
      <c r="AR20" s="68"/>
      <c r="AS20" s="67"/>
      <c r="AT20" s="68"/>
      <c r="AU20" s="67"/>
      <c r="AV20" s="68"/>
      <c r="AW20" s="67"/>
      <c r="AX20" s="68"/>
      <c r="AY20" s="67"/>
      <c r="AZ20" s="68"/>
      <c r="BA20" s="67"/>
      <c r="BB20" s="68"/>
      <c r="BC20" s="67"/>
      <c r="BD20" s="68"/>
      <c r="BE20" s="67"/>
      <c r="BF20" s="68"/>
      <c r="BG20" s="67"/>
      <c r="BH20" s="68"/>
      <c r="BI20" s="67"/>
    </row>
    <row r="21" spans="1:61" x14ac:dyDescent="0.25">
      <c r="A21" s="3" t="s">
        <v>60</v>
      </c>
      <c r="B21" s="68" t="str">
        <f>'LS09'!AN22</f>
        <v>mt</v>
      </c>
      <c r="C21" s="67"/>
      <c r="D21" s="68"/>
      <c r="E21" s="67"/>
      <c r="F21" s="68"/>
      <c r="G21" s="67"/>
      <c r="H21" s="68"/>
      <c r="I21" s="67"/>
      <c r="J21" s="68"/>
      <c r="K21" s="67"/>
      <c r="L21" s="68"/>
      <c r="M21" s="67"/>
      <c r="N21" s="68"/>
      <c r="O21" s="67"/>
      <c r="P21" s="68"/>
      <c r="Q21" s="67"/>
      <c r="R21" s="68"/>
      <c r="S21" s="67"/>
      <c r="T21" s="68"/>
      <c r="U21" s="67"/>
      <c r="V21" s="68"/>
      <c r="W21" s="67"/>
      <c r="X21" s="68"/>
      <c r="Y21" s="67"/>
      <c r="Z21" s="68"/>
      <c r="AA21" s="67"/>
      <c r="AB21" s="68"/>
      <c r="AC21" s="67"/>
      <c r="AD21" s="68"/>
      <c r="AE21" s="67"/>
      <c r="AF21" s="68"/>
      <c r="AG21" s="67"/>
      <c r="AH21" s="68"/>
      <c r="AI21" s="67"/>
      <c r="AJ21" s="68"/>
      <c r="AK21" s="67"/>
      <c r="AL21" s="68"/>
      <c r="AM21" s="67"/>
      <c r="AN21" s="68"/>
      <c r="AO21" s="67"/>
      <c r="AP21" s="68"/>
      <c r="AQ21" s="67"/>
      <c r="AR21" s="68"/>
      <c r="AS21" s="67"/>
      <c r="AT21" s="68"/>
      <c r="AU21" s="67"/>
      <c r="AV21" s="68"/>
      <c r="AW21" s="67"/>
      <c r="AX21" s="68"/>
      <c r="AY21" s="67"/>
      <c r="AZ21" s="68"/>
      <c r="BA21" s="67"/>
      <c r="BB21" s="68"/>
      <c r="BC21" s="67"/>
      <c r="BD21" s="68"/>
      <c r="BE21" s="67"/>
      <c r="BF21" s="68"/>
      <c r="BG21" s="67"/>
      <c r="BH21" s="68"/>
      <c r="BI21" s="67"/>
    </row>
    <row r="22" spans="1:61" x14ac:dyDescent="0.25">
      <c r="A22" s="3" t="s">
        <v>61</v>
      </c>
      <c r="B22" s="68" t="str">
        <f>'LS09'!AN23</f>
        <v>X</v>
      </c>
      <c r="C22" s="67"/>
      <c r="D22" s="68"/>
      <c r="E22" s="67"/>
      <c r="F22" s="68"/>
      <c r="G22" s="67"/>
      <c r="H22" s="68"/>
      <c r="I22" s="67"/>
      <c r="J22" s="68"/>
      <c r="K22" s="67"/>
      <c r="L22" s="68"/>
      <c r="M22" s="67"/>
      <c r="N22" s="68"/>
      <c r="O22" s="67"/>
      <c r="P22" s="68"/>
      <c r="Q22" s="67"/>
      <c r="R22" s="68"/>
      <c r="S22" s="67"/>
      <c r="T22" s="68"/>
      <c r="U22" s="67"/>
      <c r="V22" s="68"/>
      <c r="W22" s="67"/>
      <c r="X22" s="68"/>
      <c r="Y22" s="67"/>
      <c r="Z22" s="68"/>
      <c r="AA22" s="67"/>
      <c r="AB22" s="68"/>
      <c r="AC22" s="67"/>
      <c r="AD22" s="68"/>
      <c r="AE22" s="67"/>
      <c r="AF22" s="68"/>
      <c r="AG22" s="67"/>
      <c r="AH22" s="68"/>
      <c r="AI22" s="67"/>
      <c r="AJ22" s="68"/>
      <c r="AK22" s="67"/>
      <c r="AL22" s="68"/>
      <c r="AM22" s="67"/>
      <c r="AN22" s="68"/>
      <c r="AO22" s="67"/>
      <c r="AP22" s="68"/>
      <c r="AQ22" s="67"/>
      <c r="AR22" s="68"/>
      <c r="AS22" s="67"/>
      <c r="AT22" s="68"/>
      <c r="AU22" s="67"/>
      <c r="AV22" s="68"/>
      <c r="AW22" s="67"/>
      <c r="AX22" s="68"/>
      <c r="AY22" s="67"/>
      <c r="AZ22" s="68"/>
      <c r="BA22" s="67"/>
      <c r="BB22" s="68"/>
      <c r="BC22" s="67"/>
      <c r="BD22" s="68"/>
      <c r="BE22" s="67"/>
      <c r="BF22" s="68"/>
      <c r="BG22" s="67"/>
      <c r="BH22" s="68"/>
      <c r="BI22" s="67"/>
    </row>
    <row r="23" spans="1:61" x14ac:dyDescent="0.25">
      <c r="A23" s="3" t="s">
        <v>62</v>
      </c>
      <c r="B23" s="68" t="str">
        <f>'LS09'!AN24</f>
        <v>X</v>
      </c>
      <c r="C23" s="67"/>
      <c r="D23" s="68"/>
      <c r="E23" s="67"/>
      <c r="F23" s="68"/>
      <c r="G23" s="67"/>
      <c r="H23" s="68"/>
      <c r="I23" s="67"/>
      <c r="J23" s="68"/>
      <c r="K23" s="67"/>
      <c r="L23" s="68"/>
      <c r="M23" s="67"/>
      <c r="N23" s="68"/>
      <c r="O23" s="67"/>
      <c r="P23" s="68"/>
      <c r="Q23" s="67"/>
      <c r="R23" s="68"/>
      <c r="S23" s="67"/>
      <c r="T23" s="68"/>
      <c r="U23" s="67"/>
      <c r="V23" s="68"/>
      <c r="W23" s="67"/>
      <c r="X23" s="68"/>
      <c r="Y23" s="67"/>
      <c r="Z23" s="68"/>
      <c r="AA23" s="67"/>
      <c r="AB23" s="68"/>
      <c r="AC23" s="67"/>
      <c r="AD23" s="68"/>
      <c r="AE23" s="67"/>
      <c r="AF23" s="68"/>
      <c r="AG23" s="67"/>
      <c r="AH23" s="68"/>
      <c r="AI23" s="67"/>
      <c r="AJ23" s="68"/>
      <c r="AK23" s="67"/>
      <c r="AL23" s="68"/>
      <c r="AM23" s="67"/>
      <c r="AN23" s="68"/>
      <c r="AO23" s="67"/>
      <c r="AP23" s="68"/>
      <c r="AQ23" s="67"/>
      <c r="AR23" s="68"/>
      <c r="AS23" s="67"/>
      <c r="AT23" s="68"/>
      <c r="AU23" s="67"/>
      <c r="AV23" s="68"/>
      <c r="AW23" s="67"/>
      <c r="AX23" s="68"/>
      <c r="AY23" s="67"/>
      <c r="AZ23" s="68"/>
      <c r="BA23" s="67"/>
      <c r="BB23" s="68"/>
      <c r="BC23" s="67"/>
      <c r="BD23" s="68"/>
      <c r="BE23" s="67"/>
      <c r="BF23" s="68"/>
      <c r="BG23" s="67"/>
      <c r="BH23" s="68"/>
      <c r="BI23" s="67"/>
    </row>
    <row r="24" spans="1:61" x14ac:dyDescent="0.25">
      <c r="A24" s="3" t="s">
        <v>63</v>
      </c>
      <c r="B24" s="68" t="str">
        <f>'LS09'!AN25</f>
        <v>X</v>
      </c>
      <c r="C24" s="67"/>
      <c r="D24" s="68"/>
      <c r="E24" s="67"/>
      <c r="F24" s="68"/>
      <c r="G24" s="67"/>
      <c r="H24" s="68"/>
      <c r="I24" s="67"/>
      <c r="J24" s="68"/>
      <c r="K24" s="67"/>
      <c r="L24" s="68"/>
      <c r="M24" s="67"/>
      <c r="N24" s="68"/>
      <c r="O24" s="67"/>
      <c r="P24" s="68"/>
      <c r="Q24" s="67"/>
      <c r="R24" s="68"/>
      <c r="S24" s="67"/>
      <c r="T24" s="68"/>
      <c r="U24" s="67"/>
      <c r="V24" s="68"/>
      <c r="W24" s="67"/>
      <c r="X24" s="68"/>
      <c r="Y24" s="67"/>
      <c r="Z24" s="68"/>
      <c r="AA24" s="67"/>
      <c r="AB24" s="68"/>
      <c r="AC24" s="67"/>
      <c r="AD24" s="68"/>
      <c r="AE24" s="67"/>
      <c r="AF24" s="68"/>
      <c r="AG24" s="67"/>
      <c r="AH24" s="68"/>
      <c r="AI24" s="67"/>
      <c r="AJ24" s="68"/>
      <c r="AK24" s="67"/>
      <c r="AL24" s="68"/>
      <c r="AM24" s="67"/>
      <c r="AN24" s="68"/>
      <c r="AO24" s="67"/>
      <c r="AP24" s="68"/>
      <c r="AQ24" s="67"/>
      <c r="AR24" s="68"/>
      <c r="AS24" s="67"/>
      <c r="AT24" s="68"/>
      <c r="AU24" s="67"/>
      <c r="AV24" s="68"/>
      <c r="AW24" s="67"/>
      <c r="AX24" s="68"/>
      <c r="AY24" s="67"/>
      <c r="AZ24" s="68"/>
      <c r="BA24" s="67"/>
      <c r="BB24" s="68"/>
      <c r="BC24" s="67"/>
      <c r="BD24" s="68"/>
      <c r="BE24" s="67"/>
      <c r="BF24" s="68"/>
      <c r="BG24" s="67"/>
      <c r="BH24" s="68"/>
      <c r="BI24" s="67"/>
    </row>
    <row r="25" spans="1:61" x14ac:dyDescent="0.25">
      <c r="A25" s="3" t="s">
        <v>64</v>
      </c>
      <c r="B25" s="68" t="str">
        <f>'LS09'!AN26</f>
        <v>X</v>
      </c>
      <c r="C25" s="67"/>
      <c r="D25" s="68"/>
      <c r="E25" s="67"/>
      <c r="F25" s="68"/>
      <c r="G25" s="67"/>
      <c r="H25" s="68"/>
      <c r="I25" s="67"/>
      <c r="J25" s="68"/>
      <c r="K25" s="67"/>
      <c r="L25" s="68"/>
      <c r="M25" s="67"/>
      <c r="N25" s="68"/>
      <c r="O25" s="67"/>
      <c r="P25" s="68"/>
      <c r="Q25" s="67"/>
      <c r="R25" s="68"/>
      <c r="S25" s="67"/>
      <c r="T25" s="68"/>
      <c r="U25" s="67"/>
      <c r="V25" s="68"/>
      <c r="W25" s="67"/>
      <c r="X25" s="68"/>
      <c r="Y25" s="67"/>
      <c r="Z25" s="68"/>
      <c r="AA25" s="67"/>
      <c r="AB25" s="68"/>
      <c r="AC25" s="67"/>
      <c r="AD25" s="68"/>
      <c r="AE25" s="67"/>
      <c r="AF25" s="68"/>
      <c r="AG25" s="67"/>
      <c r="AH25" s="68"/>
      <c r="AI25" s="67"/>
      <c r="AJ25" s="68"/>
      <c r="AK25" s="67"/>
      <c r="AL25" s="68"/>
      <c r="AM25" s="67"/>
      <c r="AN25" s="68"/>
      <c r="AO25" s="67"/>
      <c r="AP25" s="68"/>
      <c r="AQ25" s="67"/>
      <c r="AR25" s="68"/>
      <c r="AS25" s="67"/>
      <c r="AT25" s="68"/>
      <c r="AU25" s="67"/>
      <c r="AV25" s="68"/>
      <c r="AW25" s="67"/>
      <c r="AX25" s="68"/>
      <c r="AY25" s="67"/>
      <c r="AZ25" s="68"/>
      <c r="BA25" s="67"/>
      <c r="BB25" s="68"/>
      <c r="BC25" s="67"/>
      <c r="BD25" s="68"/>
      <c r="BE25" s="67"/>
      <c r="BF25" s="68"/>
      <c r="BG25" s="67"/>
      <c r="BH25" s="68"/>
      <c r="BI25" s="67"/>
    </row>
    <row r="26" spans="1:61" x14ac:dyDescent="0.25">
      <c r="A26" s="3" t="s">
        <v>65</v>
      </c>
      <c r="B26" s="68" t="str">
        <f>'LS09'!AN27</f>
        <v>X</v>
      </c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A26" s="67"/>
      <c r="AB26" s="68"/>
      <c r="AC26" s="67"/>
      <c r="AD26" s="68"/>
      <c r="AE26" s="67"/>
      <c r="AF26" s="68"/>
      <c r="AG26" s="67"/>
      <c r="AH26" s="68"/>
      <c r="AI26" s="67"/>
      <c r="AJ26" s="68"/>
      <c r="AK26" s="67"/>
      <c r="AL26" s="68"/>
      <c r="AM26" s="67"/>
      <c r="AN26" s="68"/>
      <c r="AO26" s="67"/>
      <c r="AP26" s="68"/>
      <c r="AQ26" s="67"/>
      <c r="AR26" s="68"/>
      <c r="AS26" s="67"/>
      <c r="AT26" s="68"/>
      <c r="AU26" s="67"/>
      <c r="AV26" s="68"/>
      <c r="AW26" s="67"/>
      <c r="AX26" s="68"/>
      <c r="AY26" s="67"/>
      <c r="AZ26" s="68"/>
      <c r="BA26" s="67"/>
      <c r="BB26" s="68"/>
      <c r="BC26" s="67"/>
      <c r="BD26" s="68"/>
      <c r="BE26" s="67"/>
      <c r="BF26" s="68"/>
      <c r="BG26" s="67"/>
      <c r="BH26" s="68"/>
      <c r="BI26" s="67"/>
    </row>
    <row r="27" spans="1:61" x14ac:dyDescent="0.25">
      <c r="A27" s="3" t="s">
        <v>66</v>
      </c>
      <c r="B27" s="68" t="str">
        <f>'LS09'!AN28</f>
        <v>X</v>
      </c>
      <c r="C27" s="67"/>
      <c r="D27" s="68"/>
      <c r="E27" s="67"/>
      <c r="F27" s="68"/>
      <c r="G27" s="67"/>
      <c r="H27" s="68"/>
      <c r="I27" s="67"/>
      <c r="J27" s="68"/>
      <c r="K27" s="67"/>
      <c r="L27" s="68"/>
      <c r="M27" s="67"/>
      <c r="N27" s="68"/>
      <c r="O27" s="67"/>
      <c r="P27" s="68"/>
      <c r="Q27" s="67"/>
      <c r="R27" s="68"/>
      <c r="S27" s="67"/>
      <c r="T27" s="68"/>
      <c r="U27" s="67"/>
      <c r="V27" s="68"/>
      <c r="W27" s="67"/>
      <c r="X27" s="68"/>
      <c r="Y27" s="67"/>
      <c r="Z27" s="68"/>
      <c r="AA27" s="67"/>
      <c r="AB27" s="68"/>
      <c r="AC27" s="67"/>
      <c r="AD27" s="68"/>
      <c r="AE27" s="67"/>
      <c r="AF27" s="68"/>
      <c r="AG27" s="67"/>
      <c r="AH27" s="68"/>
      <c r="AI27" s="67"/>
      <c r="AJ27" s="68"/>
      <c r="AK27" s="67"/>
      <c r="AL27" s="68"/>
      <c r="AM27" s="67"/>
      <c r="AN27" s="68"/>
      <c r="AO27" s="67"/>
      <c r="AP27" s="68"/>
      <c r="AQ27" s="67"/>
      <c r="AR27" s="68"/>
      <c r="AS27" s="67"/>
      <c r="AT27" s="68"/>
      <c r="AU27" s="67"/>
      <c r="AV27" s="68"/>
      <c r="AW27" s="67"/>
      <c r="AX27" s="68"/>
      <c r="AY27" s="67"/>
      <c r="AZ27" s="68"/>
      <c r="BA27" s="67"/>
      <c r="BB27" s="68"/>
      <c r="BC27" s="67"/>
      <c r="BD27" s="68"/>
      <c r="BE27" s="67"/>
      <c r="BF27" s="68"/>
      <c r="BG27" s="67"/>
      <c r="BH27" s="68"/>
      <c r="BI27" s="67"/>
    </row>
    <row r="28" spans="1:61" x14ac:dyDescent="0.25">
      <c r="A28" s="3" t="s">
        <v>67</v>
      </c>
      <c r="B28" s="68" t="str">
        <f>'LS09'!AN29</f>
        <v>X</v>
      </c>
      <c r="C28" s="67"/>
      <c r="D28" s="68"/>
      <c r="E28" s="67"/>
      <c r="F28" s="68"/>
      <c r="G28" s="67"/>
      <c r="H28" s="68"/>
      <c r="I28" s="67"/>
      <c r="J28" s="68"/>
      <c r="K28" s="67"/>
      <c r="L28" s="68"/>
      <c r="M28" s="67"/>
      <c r="N28" s="68"/>
      <c r="O28" s="67"/>
      <c r="P28" s="68"/>
      <c r="Q28" s="67"/>
      <c r="R28" s="68"/>
      <c r="S28" s="67"/>
      <c r="T28" s="68"/>
      <c r="U28" s="67"/>
      <c r="V28" s="68"/>
      <c r="W28" s="67"/>
      <c r="X28" s="68"/>
      <c r="Y28" s="67"/>
      <c r="Z28" s="68"/>
      <c r="AA28" s="67"/>
      <c r="AB28" s="68"/>
      <c r="AC28" s="67"/>
      <c r="AD28" s="68"/>
      <c r="AE28" s="67"/>
      <c r="AF28" s="68"/>
      <c r="AG28" s="67"/>
      <c r="AH28" s="68"/>
      <c r="AI28" s="67"/>
      <c r="AJ28" s="68"/>
      <c r="AK28" s="67"/>
      <c r="AL28" s="68"/>
      <c r="AM28" s="67"/>
      <c r="AN28" s="68"/>
      <c r="AO28" s="67"/>
      <c r="AP28" s="68"/>
      <c r="AQ28" s="67"/>
      <c r="AR28" s="68"/>
      <c r="AS28" s="67"/>
      <c r="AT28" s="68"/>
      <c r="AU28" s="67"/>
      <c r="AV28" s="68"/>
      <c r="AW28" s="67"/>
      <c r="AX28" s="68"/>
      <c r="AY28" s="67"/>
      <c r="AZ28" s="68"/>
      <c r="BA28" s="67"/>
      <c r="BB28" s="68"/>
      <c r="BC28" s="67"/>
      <c r="BD28" s="68"/>
      <c r="BE28" s="67"/>
      <c r="BF28" s="68"/>
      <c r="BG28" s="67"/>
      <c r="BH28" s="68"/>
      <c r="BI28" s="67"/>
    </row>
    <row r="29" spans="1:61" x14ac:dyDescent="0.25">
      <c r="A29" s="3" t="s">
        <v>68</v>
      </c>
      <c r="B29" s="68" t="str">
        <f>'LS09'!AN30</f>
        <v>X</v>
      </c>
      <c r="C29" s="67"/>
      <c r="D29" s="68"/>
      <c r="E29" s="67"/>
      <c r="F29" s="68"/>
      <c r="G29" s="67"/>
      <c r="H29" s="68"/>
      <c r="I29" s="67"/>
      <c r="J29" s="68"/>
      <c r="K29" s="67"/>
      <c r="L29" s="68"/>
      <c r="M29" s="67"/>
      <c r="N29" s="68"/>
      <c r="O29" s="67"/>
      <c r="P29" s="68"/>
      <c r="Q29" s="67"/>
      <c r="R29" s="68"/>
      <c r="S29" s="67"/>
      <c r="T29" s="68"/>
      <c r="U29" s="67"/>
      <c r="V29" s="68"/>
      <c r="W29" s="67"/>
      <c r="X29" s="68"/>
      <c r="Y29" s="67"/>
      <c r="Z29" s="68"/>
      <c r="AA29" s="67"/>
      <c r="AB29" s="68"/>
      <c r="AC29" s="67"/>
      <c r="AD29" s="68"/>
      <c r="AE29" s="67"/>
      <c r="AF29" s="68"/>
      <c r="AG29" s="67"/>
      <c r="AH29" s="68"/>
      <c r="AI29" s="67"/>
      <c r="AJ29" s="68"/>
      <c r="AK29" s="67"/>
      <c r="AL29" s="68"/>
      <c r="AM29" s="67"/>
      <c r="AN29" s="68"/>
      <c r="AO29" s="67"/>
      <c r="AP29" s="68"/>
      <c r="AQ29" s="67"/>
      <c r="AR29" s="68"/>
      <c r="AS29" s="67"/>
      <c r="AT29" s="68"/>
      <c r="AU29" s="67"/>
      <c r="AV29" s="68"/>
      <c r="AW29" s="67"/>
      <c r="AX29" s="68"/>
      <c r="AY29" s="67"/>
      <c r="AZ29" s="68"/>
      <c r="BA29" s="67"/>
      <c r="BB29" s="68"/>
      <c r="BC29" s="67"/>
      <c r="BD29" s="68"/>
      <c r="BE29" s="67"/>
      <c r="BF29" s="68"/>
      <c r="BG29" s="67"/>
      <c r="BH29" s="68"/>
      <c r="BI29" s="67"/>
    </row>
    <row r="30" spans="1:61" x14ac:dyDescent="0.25">
      <c r="A30" s="3" t="s">
        <v>69</v>
      </c>
      <c r="B30" s="68" t="str">
        <f>'LS09'!AN31</f>
        <v>X</v>
      </c>
      <c r="C30" s="67"/>
      <c r="D30" s="68"/>
      <c r="E30" s="67"/>
      <c r="F30" s="68"/>
      <c r="G30" s="67"/>
      <c r="H30" s="68"/>
      <c r="I30" s="67"/>
      <c r="J30" s="68"/>
      <c r="K30" s="67"/>
      <c r="L30" s="68"/>
      <c r="M30" s="67"/>
      <c r="N30" s="68"/>
      <c r="O30" s="67"/>
      <c r="P30" s="68"/>
      <c r="Q30" s="67"/>
      <c r="R30" s="68"/>
      <c r="S30" s="67"/>
      <c r="T30" s="68"/>
      <c r="U30" s="67"/>
      <c r="V30" s="68"/>
      <c r="W30" s="67"/>
      <c r="X30" s="68"/>
      <c r="Y30" s="67"/>
      <c r="Z30" s="68"/>
      <c r="AA30" s="67"/>
      <c r="AB30" s="68"/>
      <c r="AC30" s="67"/>
      <c r="AD30" s="68"/>
      <c r="AE30" s="67"/>
      <c r="AF30" s="68"/>
      <c r="AG30" s="67"/>
      <c r="AH30" s="68"/>
      <c r="AI30" s="67"/>
      <c r="AJ30" s="68"/>
      <c r="AK30" s="67"/>
      <c r="AL30" s="68"/>
      <c r="AM30" s="67"/>
      <c r="AN30" s="68"/>
      <c r="AO30" s="67"/>
      <c r="AP30" s="68"/>
      <c r="AQ30" s="67"/>
      <c r="AR30" s="68"/>
      <c r="AS30" s="67"/>
      <c r="AT30" s="68"/>
      <c r="AU30" s="67"/>
      <c r="AV30" s="68"/>
      <c r="AW30" s="67"/>
      <c r="AX30" s="68"/>
      <c r="AY30" s="67"/>
      <c r="AZ30" s="68"/>
      <c r="BA30" s="67"/>
      <c r="BB30" s="68"/>
      <c r="BC30" s="67"/>
      <c r="BD30" s="68"/>
      <c r="BE30" s="67"/>
      <c r="BF30" s="68"/>
      <c r="BG30" s="67"/>
      <c r="BH30" s="68"/>
      <c r="BI30" s="67"/>
    </row>
    <row r="31" spans="1:61" x14ac:dyDescent="0.25">
      <c r="A31" s="3" t="s">
        <v>70</v>
      </c>
      <c r="B31" s="68" t="str">
        <f>'LS09'!AN32</f>
        <v>X</v>
      </c>
      <c r="C31" s="67"/>
      <c r="D31" s="68"/>
      <c r="E31" s="67"/>
      <c r="F31" s="68"/>
      <c r="G31" s="67"/>
      <c r="H31" s="68"/>
      <c r="I31" s="67"/>
      <c r="J31" s="68"/>
      <c r="K31" s="67"/>
      <c r="L31" s="68"/>
      <c r="M31" s="67"/>
      <c r="N31" s="68"/>
      <c r="O31" s="67"/>
      <c r="P31" s="68"/>
      <c r="Q31" s="67"/>
      <c r="R31" s="68"/>
      <c r="S31" s="67"/>
      <c r="T31" s="68"/>
      <c r="U31" s="67"/>
      <c r="V31" s="68"/>
      <c r="W31" s="67"/>
      <c r="X31" s="68"/>
      <c r="Y31" s="67"/>
      <c r="Z31" s="68"/>
      <c r="AA31" s="67"/>
      <c r="AB31" s="68"/>
      <c r="AC31" s="67"/>
      <c r="AD31" s="68"/>
      <c r="AE31" s="67"/>
      <c r="AF31" s="68"/>
      <c r="AG31" s="67"/>
      <c r="AH31" s="68"/>
      <c r="AI31" s="67"/>
      <c r="AJ31" s="68"/>
      <c r="AK31" s="67"/>
      <c r="AL31" s="68"/>
      <c r="AM31" s="67"/>
      <c r="AN31" s="68"/>
      <c r="AO31" s="67"/>
      <c r="AP31" s="68"/>
      <c r="AQ31" s="67"/>
      <c r="AR31" s="68"/>
      <c r="AS31" s="67"/>
      <c r="AT31" s="68"/>
      <c r="AU31" s="67"/>
      <c r="AV31" s="68"/>
      <c r="AW31" s="67"/>
      <c r="AX31" s="68"/>
      <c r="AY31" s="67"/>
      <c r="AZ31" s="68"/>
      <c r="BA31" s="67"/>
      <c r="BB31" s="68"/>
      <c r="BC31" s="67"/>
      <c r="BD31" s="68"/>
      <c r="BE31" s="67"/>
      <c r="BF31" s="68"/>
      <c r="BG31" s="67"/>
      <c r="BH31" s="68"/>
      <c r="BI31" s="67"/>
    </row>
    <row r="32" spans="1:61" x14ac:dyDescent="0.25">
      <c r="A32" s="3" t="s">
        <v>71</v>
      </c>
      <c r="B32" s="68" t="str">
        <f>'LS09'!AN33</f>
        <v>X</v>
      </c>
      <c r="C32" s="67"/>
      <c r="D32" s="68"/>
      <c r="E32" s="67"/>
      <c r="F32" s="68"/>
      <c r="G32" s="67"/>
      <c r="H32" s="68"/>
      <c r="I32" s="67"/>
      <c r="J32" s="68"/>
      <c r="K32" s="67"/>
      <c r="L32" s="68"/>
      <c r="M32" s="67"/>
      <c r="N32" s="68"/>
      <c r="O32" s="67"/>
      <c r="P32" s="68"/>
      <c r="Q32" s="67"/>
      <c r="R32" s="68"/>
      <c r="S32" s="67"/>
      <c r="T32" s="68"/>
      <c r="U32" s="67"/>
      <c r="V32" s="68"/>
      <c r="W32" s="67"/>
      <c r="X32" s="68"/>
      <c r="Y32" s="67"/>
      <c r="Z32" s="68"/>
      <c r="AA32" s="67"/>
      <c r="AB32" s="68"/>
      <c r="AC32" s="67"/>
      <c r="AD32" s="68"/>
      <c r="AE32" s="67"/>
      <c r="AF32" s="68"/>
      <c r="AG32" s="67"/>
      <c r="AH32" s="68"/>
      <c r="AI32" s="67"/>
      <c r="AJ32" s="68"/>
      <c r="AK32" s="67"/>
      <c r="AL32" s="68"/>
      <c r="AM32" s="67"/>
      <c r="AN32" s="68"/>
      <c r="AO32" s="67"/>
      <c r="AP32" s="68"/>
      <c r="AQ32" s="67"/>
      <c r="AR32" s="68"/>
      <c r="AS32" s="67"/>
      <c r="AT32" s="68"/>
      <c r="AU32" s="67"/>
      <c r="AV32" s="68"/>
      <c r="AW32" s="67"/>
      <c r="AX32" s="68"/>
      <c r="AY32" s="67"/>
      <c r="AZ32" s="68"/>
      <c r="BA32" s="67"/>
      <c r="BB32" s="68"/>
      <c r="BC32" s="67"/>
      <c r="BD32" s="68"/>
      <c r="BE32" s="67"/>
      <c r="BF32" s="68"/>
      <c r="BG32" s="67"/>
      <c r="BH32" s="68"/>
      <c r="BI32" s="67"/>
    </row>
    <row r="33" spans="1:61" x14ac:dyDescent="0.25">
      <c r="A33" s="3" t="s">
        <v>72</v>
      </c>
      <c r="B33" s="68" t="str">
        <f>'LS09'!AN34</f>
        <v>X</v>
      </c>
      <c r="C33" s="67"/>
      <c r="D33" s="68"/>
      <c r="E33" s="67"/>
      <c r="F33" s="68"/>
      <c r="G33" s="67"/>
      <c r="H33" s="68"/>
      <c r="I33" s="67"/>
      <c r="J33" s="68"/>
      <c r="K33" s="67"/>
      <c r="L33" s="68"/>
      <c r="M33" s="67"/>
      <c r="N33" s="68"/>
      <c r="O33" s="67"/>
      <c r="P33" s="68"/>
      <c r="Q33" s="67"/>
      <c r="R33" s="68"/>
      <c r="S33" s="67"/>
      <c r="T33" s="68"/>
      <c r="U33" s="67"/>
      <c r="V33" s="68"/>
      <c r="W33" s="67"/>
      <c r="X33" s="68"/>
      <c r="Y33" s="67"/>
      <c r="Z33" s="68"/>
      <c r="AA33" s="67"/>
      <c r="AB33" s="68"/>
      <c r="AC33" s="67"/>
      <c r="AD33" s="68"/>
      <c r="AE33" s="67"/>
      <c r="AF33" s="68"/>
      <c r="AG33" s="67"/>
      <c r="AH33" s="68"/>
      <c r="AI33" s="67"/>
      <c r="AJ33" s="68"/>
      <c r="AK33" s="67"/>
      <c r="AL33" s="68"/>
      <c r="AM33" s="67"/>
      <c r="AN33" s="68"/>
      <c r="AO33" s="67"/>
      <c r="AP33" s="68"/>
      <c r="AQ33" s="67"/>
      <c r="AR33" s="68"/>
      <c r="AS33" s="67"/>
      <c r="AT33" s="68"/>
      <c r="AU33" s="67"/>
      <c r="AV33" s="68"/>
      <c r="AW33" s="67"/>
      <c r="AX33" s="68"/>
      <c r="AY33" s="67"/>
      <c r="AZ33" s="68"/>
      <c r="BA33" s="67"/>
      <c r="BB33" s="68"/>
      <c r="BC33" s="67"/>
      <c r="BD33" s="68"/>
      <c r="BE33" s="67"/>
      <c r="BF33" s="68"/>
      <c r="BG33" s="67"/>
      <c r="BH33" s="68"/>
      <c r="BI33" s="67"/>
    </row>
    <row r="34" spans="1:61" x14ac:dyDescent="0.25">
      <c r="A34" s="3" t="s">
        <v>73</v>
      </c>
      <c r="B34" s="68" t="str">
        <f>'LS09'!AN35</f>
        <v>X</v>
      </c>
      <c r="C34" s="67"/>
      <c r="D34" s="68"/>
      <c r="E34" s="67"/>
      <c r="F34" s="68"/>
      <c r="G34" s="67"/>
      <c r="H34" s="68"/>
      <c r="I34" s="67"/>
      <c r="J34" s="68"/>
      <c r="K34" s="67"/>
      <c r="L34" s="68"/>
      <c r="M34" s="67"/>
      <c r="N34" s="68"/>
      <c r="O34" s="67"/>
      <c r="P34" s="68"/>
      <c r="Q34" s="67"/>
      <c r="R34" s="68"/>
      <c r="S34" s="67"/>
      <c r="T34" s="68"/>
      <c r="U34" s="67"/>
      <c r="V34" s="68"/>
      <c r="W34" s="67"/>
      <c r="X34" s="68"/>
      <c r="Y34" s="67"/>
      <c r="Z34" s="68"/>
      <c r="AA34" s="67"/>
      <c r="AB34" s="68"/>
      <c r="AC34" s="67"/>
      <c r="AD34" s="68"/>
      <c r="AE34" s="67"/>
      <c r="AF34" s="68"/>
      <c r="AG34" s="67"/>
      <c r="AH34" s="68"/>
      <c r="AI34" s="67"/>
      <c r="AJ34" s="68"/>
      <c r="AK34" s="67"/>
      <c r="AL34" s="68"/>
      <c r="AM34" s="67"/>
      <c r="AN34" s="68"/>
      <c r="AO34" s="67"/>
      <c r="AP34" s="68"/>
      <c r="AQ34" s="67"/>
      <c r="AR34" s="68"/>
      <c r="AS34" s="67"/>
      <c r="AT34" s="68"/>
      <c r="AU34" s="67"/>
      <c r="AV34" s="68"/>
      <c r="AW34" s="67"/>
      <c r="AX34" s="68"/>
      <c r="AY34" s="67"/>
      <c r="AZ34" s="68"/>
      <c r="BA34" s="67"/>
      <c r="BB34" s="68"/>
      <c r="BC34" s="67"/>
      <c r="BD34" s="68"/>
      <c r="BE34" s="67"/>
      <c r="BF34" s="68"/>
      <c r="BG34" s="67"/>
      <c r="BH34" s="68"/>
      <c r="BI34" s="67"/>
    </row>
    <row r="35" spans="1:61" x14ac:dyDescent="0.25">
      <c r="A35" s="3" t="s">
        <v>74</v>
      </c>
      <c r="B35" s="68" t="str">
        <f>'LS09'!AN36</f>
        <v>X</v>
      </c>
      <c r="C35" s="67"/>
      <c r="D35" s="68"/>
      <c r="E35" s="67"/>
      <c r="F35" s="68"/>
      <c r="G35" s="67"/>
      <c r="H35" s="68"/>
      <c r="I35" s="67"/>
      <c r="J35" s="68"/>
      <c r="K35" s="67"/>
      <c r="L35" s="68"/>
      <c r="M35" s="67"/>
      <c r="N35" s="68"/>
      <c r="O35" s="67"/>
      <c r="P35" s="68"/>
      <c r="Q35" s="67"/>
      <c r="R35" s="68"/>
      <c r="S35" s="67"/>
      <c r="T35" s="68"/>
      <c r="U35" s="67"/>
      <c r="V35" s="68"/>
      <c r="W35" s="67"/>
      <c r="X35" s="68"/>
      <c r="Y35" s="67"/>
      <c r="Z35" s="68"/>
      <c r="AA35" s="67"/>
      <c r="AB35" s="68"/>
      <c r="AC35" s="67"/>
      <c r="AD35" s="68"/>
      <c r="AE35" s="67"/>
      <c r="AF35" s="68"/>
      <c r="AG35" s="67"/>
      <c r="AH35" s="68"/>
      <c r="AI35" s="67"/>
      <c r="AJ35" s="68"/>
      <c r="AK35" s="67"/>
      <c r="AL35" s="68"/>
      <c r="AM35" s="67"/>
      <c r="AN35" s="68"/>
      <c r="AO35" s="67"/>
      <c r="AP35" s="68"/>
      <c r="AQ35" s="67"/>
      <c r="AR35" s="68"/>
      <c r="AS35" s="67"/>
      <c r="AT35" s="68"/>
      <c r="AU35" s="67"/>
      <c r="AV35" s="68"/>
      <c r="AW35" s="67"/>
      <c r="AX35" s="68"/>
      <c r="AY35" s="67"/>
      <c r="AZ35" s="68"/>
      <c r="BA35" s="67"/>
      <c r="BB35" s="68"/>
      <c r="BC35" s="67"/>
      <c r="BD35" s="68"/>
      <c r="BE35" s="67"/>
      <c r="BF35" s="68"/>
      <c r="BG35" s="67"/>
      <c r="BH35" s="68"/>
      <c r="BI35" s="67"/>
    </row>
    <row r="36" spans="1:61" x14ac:dyDescent="0.25">
      <c r="A36" s="3" t="s">
        <v>75</v>
      </c>
      <c r="B36" s="68" t="str">
        <f>'LS09'!AN37</f>
        <v>X</v>
      </c>
      <c r="C36" s="67"/>
      <c r="D36" s="68"/>
      <c r="E36" s="67"/>
      <c r="F36" s="68"/>
      <c r="G36" s="67"/>
      <c r="H36" s="68"/>
      <c r="I36" s="67"/>
      <c r="J36" s="68"/>
      <c r="K36" s="67"/>
      <c r="L36" s="68"/>
      <c r="M36" s="67"/>
      <c r="N36" s="68"/>
      <c r="O36" s="67"/>
      <c r="P36" s="68"/>
      <c r="Q36" s="67"/>
      <c r="R36" s="68"/>
      <c r="S36" s="67"/>
      <c r="T36" s="68"/>
      <c r="U36" s="67"/>
      <c r="V36" s="68"/>
      <c r="W36" s="67"/>
      <c r="X36" s="68"/>
      <c r="Y36" s="67"/>
      <c r="Z36" s="68"/>
      <c r="AA36" s="67"/>
      <c r="AB36" s="68"/>
      <c r="AC36" s="67"/>
      <c r="AD36" s="68"/>
      <c r="AE36" s="67"/>
      <c r="AF36" s="68"/>
      <c r="AG36" s="67"/>
      <c r="AH36" s="68"/>
      <c r="AI36" s="67"/>
      <c r="AJ36" s="68"/>
      <c r="AK36" s="67"/>
      <c r="AL36" s="68"/>
      <c r="AM36" s="67"/>
      <c r="AN36" s="68"/>
      <c r="AO36" s="67"/>
      <c r="AP36" s="68"/>
      <c r="AQ36" s="67"/>
      <c r="AR36" s="68"/>
      <c r="AS36" s="67"/>
      <c r="AT36" s="68"/>
      <c r="AU36" s="67"/>
      <c r="AV36" s="68"/>
      <c r="AW36" s="67"/>
      <c r="AX36" s="68"/>
      <c r="AY36" s="67"/>
      <c r="AZ36" s="68"/>
      <c r="BA36" s="67"/>
      <c r="BB36" s="68"/>
      <c r="BC36" s="67"/>
      <c r="BD36" s="68"/>
      <c r="BE36" s="67"/>
      <c r="BF36" s="68"/>
      <c r="BG36" s="67"/>
      <c r="BH36" s="68"/>
      <c r="BI36" s="67"/>
    </row>
    <row r="37" spans="1:61" x14ac:dyDescent="0.25">
      <c r="A37" s="3" t="s">
        <v>76</v>
      </c>
      <c r="B37" s="68" t="str">
        <f>'LS09'!AN38</f>
        <v>X</v>
      </c>
      <c r="C37" s="67"/>
      <c r="D37" s="68"/>
      <c r="E37" s="67"/>
      <c r="F37" s="68"/>
      <c r="G37" s="67"/>
      <c r="H37" s="68"/>
      <c r="I37" s="67"/>
      <c r="J37" s="68"/>
      <c r="K37" s="67"/>
      <c r="L37" s="68"/>
      <c r="M37" s="67"/>
      <c r="N37" s="68"/>
      <c r="O37" s="67"/>
      <c r="P37" s="68"/>
      <c r="Q37" s="67"/>
      <c r="R37" s="68"/>
      <c r="S37" s="67"/>
      <c r="T37" s="68"/>
      <c r="U37" s="67"/>
      <c r="V37" s="68"/>
      <c r="W37" s="67"/>
      <c r="X37" s="68"/>
      <c r="Y37" s="67"/>
      <c r="Z37" s="68"/>
      <c r="AA37" s="67"/>
      <c r="AB37" s="68"/>
      <c r="AC37" s="67"/>
      <c r="AD37" s="68"/>
      <c r="AE37" s="67"/>
      <c r="AF37" s="68"/>
      <c r="AG37" s="67"/>
      <c r="AH37" s="68"/>
      <c r="AI37" s="67"/>
      <c r="AJ37" s="68"/>
      <c r="AK37" s="67"/>
      <c r="AL37" s="68"/>
      <c r="AM37" s="67"/>
      <c r="AN37" s="68"/>
      <c r="AO37" s="67"/>
      <c r="AP37" s="68"/>
      <c r="AQ37" s="67"/>
      <c r="AR37" s="68"/>
      <c r="AS37" s="67"/>
      <c r="AT37" s="68"/>
      <c r="AU37" s="67"/>
      <c r="AV37" s="68"/>
      <c r="AW37" s="67"/>
      <c r="AX37" s="68"/>
      <c r="AY37" s="67"/>
      <c r="AZ37" s="68"/>
      <c r="BA37" s="67"/>
      <c r="BB37" s="68"/>
      <c r="BC37" s="67"/>
      <c r="BD37" s="68"/>
      <c r="BE37" s="67"/>
      <c r="BF37" s="68"/>
      <c r="BG37" s="67"/>
      <c r="BH37" s="68"/>
      <c r="BI37" s="67"/>
    </row>
    <row r="38" spans="1:61" x14ac:dyDescent="0.25">
      <c r="A38" s="3" t="s">
        <v>77</v>
      </c>
      <c r="B38" s="68" t="str">
        <f>'LS09'!AN39</f>
        <v>X</v>
      </c>
      <c r="C38" s="67"/>
      <c r="D38" s="68"/>
      <c r="E38" s="67"/>
      <c r="F38" s="68"/>
      <c r="G38" s="67"/>
      <c r="H38" s="68"/>
      <c r="I38" s="67"/>
      <c r="J38" s="68"/>
      <c r="K38" s="67"/>
      <c r="L38" s="68"/>
      <c r="M38" s="67"/>
      <c r="N38" s="68"/>
      <c r="O38" s="67"/>
      <c r="P38" s="68"/>
      <c r="Q38" s="67"/>
      <c r="R38" s="68"/>
      <c r="S38" s="67"/>
      <c r="T38" s="68"/>
      <c r="U38" s="67"/>
      <c r="V38" s="68"/>
      <c r="W38" s="67"/>
      <c r="X38" s="68"/>
      <c r="Y38" s="67"/>
      <c r="Z38" s="68"/>
      <c r="AA38" s="67"/>
      <c r="AB38" s="68"/>
      <c r="AC38" s="67"/>
      <c r="AD38" s="68"/>
      <c r="AE38" s="67"/>
      <c r="AF38" s="68"/>
      <c r="AG38" s="67"/>
      <c r="AH38" s="68"/>
      <c r="AI38" s="67"/>
      <c r="AJ38" s="68"/>
      <c r="AK38" s="67"/>
      <c r="AL38" s="68"/>
      <c r="AM38" s="67"/>
      <c r="AN38" s="68"/>
      <c r="AO38" s="67"/>
      <c r="AP38" s="68"/>
      <c r="AQ38" s="67"/>
      <c r="AR38" s="68"/>
      <c r="AS38" s="67"/>
      <c r="AT38" s="68"/>
      <c r="AU38" s="67"/>
      <c r="AV38" s="68"/>
      <c r="AW38" s="67"/>
      <c r="AX38" s="68"/>
      <c r="AY38" s="67"/>
      <c r="AZ38" s="68"/>
      <c r="BA38" s="67"/>
      <c r="BB38" s="68"/>
      <c r="BC38" s="67"/>
      <c r="BD38" s="68"/>
      <c r="BE38" s="67"/>
      <c r="BF38" s="68"/>
      <c r="BG38" s="67"/>
      <c r="BH38" s="68"/>
      <c r="BI38" s="67"/>
    </row>
    <row r="39" spans="1:61" x14ac:dyDescent="0.25">
      <c r="A39" s="3" t="s">
        <v>78</v>
      </c>
      <c r="B39" s="68" t="str">
        <f>'LS09'!AN40</f>
        <v>X</v>
      </c>
      <c r="C39" s="67"/>
      <c r="D39" s="68"/>
      <c r="E39" s="67"/>
      <c r="F39" s="68"/>
      <c r="G39" s="67"/>
      <c r="H39" s="68"/>
      <c r="I39" s="67"/>
      <c r="J39" s="68"/>
      <c r="K39" s="67"/>
      <c r="L39" s="68"/>
      <c r="M39" s="67"/>
      <c r="N39" s="68"/>
      <c r="O39" s="67"/>
      <c r="P39" s="68"/>
      <c r="Q39" s="67"/>
      <c r="R39" s="68"/>
      <c r="S39" s="67"/>
      <c r="T39" s="68"/>
      <c r="U39" s="67"/>
      <c r="V39" s="68"/>
      <c r="W39" s="67"/>
      <c r="X39" s="68"/>
      <c r="Y39" s="67"/>
      <c r="Z39" s="68"/>
      <c r="AA39" s="67"/>
      <c r="AB39" s="68"/>
      <c r="AC39" s="67"/>
      <c r="AD39" s="68"/>
      <c r="AE39" s="67"/>
      <c r="AF39" s="68"/>
      <c r="AG39" s="67"/>
      <c r="AH39" s="68"/>
      <c r="AI39" s="67"/>
      <c r="AJ39" s="68"/>
      <c r="AK39" s="67"/>
      <c r="AL39" s="68"/>
      <c r="AM39" s="67"/>
      <c r="AN39" s="68"/>
      <c r="AO39" s="67"/>
      <c r="AP39" s="68"/>
      <c r="AQ39" s="67"/>
      <c r="AR39" s="68"/>
      <c r="AS39" s="67"/>
      <c r="AT39" s="68"/>
      <c r="AU39" s="67"/>
      <c r="AV39" s="68"/>
      <c r="AW39" s="67"/>
      <c r="AX39" s="68"/>
      <c r="AY39" s="67"/>
      <c r="AZ39" s="68"/>
      <c r="BA39" s="67"/>
      <c r="BB39" s="68"/>
      <c r="BC39" s="67"/>
      <c r="BD39" s="68"/>
      <c r="BE39" s="67"/>
      <c r="BF39" s="68"/>
      <c r="BG39" s="67"/>
      <c r="BH39" s="68"/>
      <c r="BI39" s="67"/>
    </row>
    <row r="40" spans="1:61" x14ac:dyDescent="0.25">
      <c r="A40" s="3" t="s">
        <v>79</v>
      </c>
      <c r="B40" s="68" t="str">
        <f>'LS09'!AN41</f>
        <v>X</v>
      </c>
      <c r="C40" s="67"/>
      <c r="D40" s="68"/>
      <c r="E40" s="67"/>
      <c r="F40" s="68"/>
      <c r="G40" s="67"/>
      <c r="H40" s="68"/>
      <c r="I40" s="67"/>
      <c r="J40" s="68"/>
      <c r="K40" s="67"/>
      <c r="L40" s="68"/>
      <c r="M40" s="67"/>
      <c r="N40" s="68"/>
      <c r="O40" s="67"/>
      <c r="P40" s="68"/>
      <c r="Q40" s="67"/>
      <c r="R40" s="68"/>
      <c r="S40" s="67"/>
      <c r="T40" s="68"/>
      <c r="U40" s="67"/>
      <c r="V40" s="68"/>
      <c r="W40" s="67"/>
      <c r="X40" s="68"/>
      <c r="Y40" s="67"/>
      <c r="Z40" s="68"/>
      <c r="AA40" s="67"/>
      <c r="AB40" s="68"/>
      <c r="AC40" s="67"/>
      <c r="AD40" s="68"/>
      <c r="AE40" s="67"/>
      <c r="AF40" s="68"/>
      <c r="AG40" s="67"/>
      <c r="AH40" s="68"/>
      <c r="AI40" s="67"/>
      <c r="AJ40" s="68"/>
      <c r="AK40" s="67"/>
      <c r="AL40" s="68"/>
      <c r="AM40" s="67"/>
      <c r="AN40" s="68"/>
      <c r="AO40" s="67"/>
      <c r="AP40" s="68"/>
      <c r="AQ40" s="67"/>
      <c r="AR40" s="68"/>
      <c r="AS40" s="67"/>
      <c r="AT40" s="68"/>
      <c r="AU40" s="67"/>
      <c r="AV40" s="68"/>
      <c r="AW40" s="67"/>
      <c r="AX40" s="68"/>
      <c r="AY40" s="67"/>
      <c r="AZ40" s="68"/>
      <c r="BA40" s="67"/>
      <c r="BB40" s="68"/>
      <c r="BC40" s="67"/>
      <c r="BD40" s="68"/>
      <c r="BE40" s="67"/>
      <c r="BF40" s="68"/>
      <c r="BG40" s="67"/>
      <c r="BH40" s="68"/>
      <c r="BI40" s="67"/>
    </row>
    <row r="41" spans="1:61" x14ac:dyDescent="0.25">
      <c r="A41" s="3" t="s">
        <v>80</v>
      </c>
      <c r="B41" s="68" t="str">
        <f>'LS09'!AN42</f>
        <v>X</v>
      </c>
      <c r="C41" s="67"/>
      <c r="D41" s="68"/>
      <c r="E41" s="67"/>
      <c r="F41" s="68"/>
      <c r="G41" s="67"/>
      <c r="H41" s="68"/>
      <c r="I41" s="67"/>
      <c r="J41" s="68"/>
      <c r="K41" s="67"/>
      <c r="L41" s="68"/>
      <c r="M41" s="67"/>
      <c r="N41" s="68"/>
      <c r="O41" s="67"/>
      <c r="P41" s="68"/>
      <c r="Q41" s="67"/>
      <c r="R41" s="68"/>
      <c r="S41" s="67"/>
      <c r="T41" s="68"/>
      <c r="U41" s="67"/>
      <c r="V41" s="68"/>
      <c r="W41" s="67"/>
      <c r="X41" s="68"/>
      <c r="Y41" s="67"/>
      <c r="Z41" s="68"/>
      <c r="AA41" s="67"/>
      <c r="AB41" s="68"/>
      <c r="AC41" s="67"/>
      <c r="AD41" s="68"/>
      <c r="AE41" s="67"/>
      <c r="AF41" s="68"/>
      <c r="AG41" s="67"/>
      <c r="AH41" s="68"/>
      <c r="AI41" s="67"/>
      <c r="AJ41" s="68"/>
      <c r="AK41" s="67"/>
      <c r="AL41" s="68"/>
      <c r="AM41" s="67"/>
      <c r="AN41" s="68"/>
      <c r="AO41" s="67"/>
      <c r="AP41" s="68"/>
      <c r="AQ41" s="67"/>
      <c r="AR41" s="68"/>
      <c r="AS41" s="67"/>
      <c r="AT41" s="68"/>
      <c r="AU41" s="67"/>
      <c r="AV41" s="68"/>
      <c r="AW41" s="67"/>
      <c r="AX41" s="68"/>
      <c r="AY41" s="67"/>
      <c r="AZ41" s="68"/>
      <c r="BA41" s="67"/>
      <c r="BB41" s="68"/>
      <c r="BC41" s="67"/>
      <c r="BD41" s="68"/>
      <c r="BE41" s="67"/>
      <c r="BF41" s="68"/>
      <c r="BG41" s="67"/>
      <c r="BH41" s="68"/>
      <c r="BI41" s="67"/>
    </row>
    <row r="42" spans="1:61" x14ac:dyDescent="0.25">
      <c r="A42" s="3" t="s">
        <v>81</v>
      </c>
      <c r="B42" s="68" t="str">
        <f>'LS09'!AN43</f>
        <v>X</v>
      </c>
      <c r="C42" s="67"/>
      <c r="D42" s="68"/>
      <c r="E42" s="67"/>
      <c r="F42" s="68"/>
      <c r="G42" s="67"/>
      <c r="H42" s="68"/>
      <c r="I42" s="67"/>
      <c r="J42" s="68"/>
      <c r="K42" s="67"/>
      <c r="L42" s="68"/>
      <c r="M42" s="67"/>
      <c r="N42" s="68"/>
      <c r="O42" s="67"/>
      <c r="P42" s="68"/>
      <c r="Q42" s="67"/>
      <c r="R42" s="68"/>
      <c r="S42" s="67"/>
      <c r="T42" s="68"/>
      <c r="U42" s="67"/>
      <c r="V42" s="68"/>
      <c r="W42" s="67"/>
      <c r="X42" s="68"/>
      <c r="Y42" s="67"/>
      <c r="Z42" s="68"/>
      <c r="AA42" s="67"/>
      <c r="AB42" s="68"/>
      <c r="AC42" s="67"/>
      <c r="AD42" s="68"/>
      <c r="AE42" s="67"/>
      <c r="AF42" s="68"/>
      <c r="AG42" s="67"/>
      <c r="AH42" s="68"/>
      <c r="AI42" s="67"/>
      <c r="AJ42" s="68"/>
      <c r="AK42" s="67"/>
      <c r="AL42" s="68"/>
      <c r="AM42" s="67"/>
      <c r="AN42" s="68"/>
      <c r="AO42" s="67"/>
      <c r="AP42" s="68"/>
      <c r="AQ42" s="67"/>
      <c r="AR42" s="68"/>
      <c r="AS42" s="67"/>
      <c r="AT42" s="68"/>
      <c r="AU42" s="67"/>
      <c r="AV42" s="68"/>
      <c r="AW42" s="67"/>
      <c r="AX42" s="68"/>
      <c r="AY42" s="67"/>
      <c r="AZ42" s="68"/>
      <c r="BA42" s="67"/>
      <c r="BB42" s="68"/>
      <c r="BC42" s="67"/>
      <c r="BD42" s="68"/>
      <c r="BE42" s="67"/>
      <c r="BF42" s="68"/>
      <c r="BG42" s="67"/>
      <c r="BH42" s="68"/>
      <c r="BI42" s="67"/>
    </row>
    <row r="43" spans="1:61" x14ac:dyDescent="0.25">
      <c r="A43" s="3" t="s">
        <v>82</v>
      </c>
      <c r="B43" s="68" t="str">
        <f>'LS09'!AN44</f>
        <v>X</v>
      </c>
      <c r="C43" s="67"/>
      <c r="D43" s="68"/>
      <c r="E43" s="67"/>
      <c r="F43" s="68"/>
      <c r="G43" s="67"/>
      <c r="H43" s="68"/>
      <c r="I43" s="67"/>
      <c r="J43" s="68"/>
      <c r="K43" s="67"/>
      <c r="L43" s="68"/>
      <c r="M43" s="67"/>
      <c r="N43" s="68"/>
      <c r="O43" s="67"/>
      <c r="P43" s="68"/>
      <c r="Q43" s="67"/>
      <c r="R43" s="68"/>
      <c r="S43" s="67"/>
      <c r="T43" s="68"/>
      <c r="U43" s="66"/>
      <c r="V43" s="4"/>
      <c r="W43" s="66"/>
      <c r="X43" s="4"/>
      <c r="Y43" s="66"/>
      <c r="Z43" s="4"/>
      <c r="AA43" s="67"/>
      <c r="AB43" s="68"/>
      <c r="AC43" s="67"/>
      <c r="AD43" s="68"/>
      <c r="AE43" s="67"/>
      <c r="AF43" s="68"/>
      <c r="AG43" s="67"/>
      <c r="AH43" s="68"/>
      <c r="AI43" s="67"/>
      <c r="AJ43" s="68"/>
      <c r="AK43" s="67"/>
      <c r="AL43" s="68"/>
      <c r="AM43" s="67"/>
      <c r="AN43" s="68"/>
      <c r="AO43" s="67"/>
      <c r="AP43" s="68"/>
      <c r="AQ43" s="67"/>
      <c r="AR43" s="68"/>
      <c r="AS43" s="67"/>
      <c r="AT43" s="68"/>
      <c r="AU43" s="67"/>
      <c r="AV43" s="68"/>
      <c r="AW43" s="67"/>
      <c r="AX43" s="68"/>
      <c r="AY43" s="67"/>
      <c r="AZ43" s="68"/>
      <c r="BA43" s="67"/>
      <c r="BB43" s="68"/>
      <c r="BC43" s="67"/>
      <c r="BD43" s="68"/>
      <c r="BE43" s="67"/>
      <c r="BF43" s="68"/>
      <c r="BG43" s="67"/>
      <c r="BH43" s="68"/>
      <c r="BI43" s="67"/>
    </row>
  </sheetData>
  <conditionalFormatting sqref="A4:A43">
    <cfRule type="containsText" dxfId="71" priority="74" operator="containsText" text="ht">
      <formula>NOT(ISERROR(SEARCH("ht",A4)))</formula>
    </cfRule>
    <cfRule type="containsText" dxfId="70" priority="75" operator="containsText" text="mt">
      <formula>NOT(ISERROR(SEARCH("mt",A4)))</formula>
    </cfRule>
    <cfRule type="containsText" dxfId="69" priority="76" operator="containsText" text="wt">
      <formula>NOT(ISERROR(SEARCH("wt",A4)))</formula>
    </cfRule>
  </conditionalFormatting>
  <conditionalFormatting sqref="A4:A43">
    <cfRule type="cellIs" dxfId="68" priority="73" operator="equal">
      <formula>"?"</formula>
    </cfRule>
  </conditionalFormatting>
  <conditionalFormatting sqref="B2:F3 B4:B43">
    <cfRule type="containsText" dxfId="67" priority="66" operator="containsText" text="ht">
      <formula>NOT(ISERROR(SEARCH("ht",B2)))</formula>
    </cfRule>
    <cfRule type="containsText" dxfId="66" priority="67" operator="containsText" text="mt">
      <formula>NOT(ISERROR(SEARCH("mt",B2)))</formula>
    </cfRule>
    <cfRule type="containsText" dxfId="65" priority="68" operator="containsText" text="wt">
      <formula>NOT(ISERROR(SEARCH("wt",B2)))</formula>
    </cfRule>
  </conditionalFormatting>
  <conditionalFormatting sqref="B2:F3 B4:B43">
    <cfRule type="cellIs" dxfId="64" priority="65" operator="equal">
      <formula>"?"</formula>
    </cfRule>
  </conditionalFormatting>
  <conditionalFormatting sqref="I2:I3 K2:K3 G2:G3 M2:M3 O2:O3 Q2:Q3">
    <cfRule type="containsText" dxfId="63" priority="62" operator="containsText" text="ht">
      <formula>NOT(ISERROR(SEARCH("ht",G2)))</formula>
    </cfRule>
    <cfRule type="containsText" dxfId="62" priority="63" operator="containsText" text="mt">
      <formula>NOT(ISERROR(SEARCH("mt",G2)))</formula>
    </cfRule>
    <cfRule type="containsText" dxfId="61" priority="64" operator="containsText" text="wt">
      <formula>NOT(ISERROR(SEARCH("wt",G2)))</formula>
    </cfRule>
  </conditionalFormatting>
  <conditionalFormatting sqref="I2:I3 K2:K3 G2:G3 M2:M3 O2:O3 Q2:Q3">
    <cfRule type="cellIs" dxfId="60" priority="61" operator="equal">
      <formula>"?"</formula>
    </cfRule>
  </conditionalFormatting>
  <conditionalFormatting sqref="H2:H3 J2:J3 L2:L3 N2:N3 R2:R3">
    <cfRule type="containsText" dxfId="59" priority="58" operator="containsText" text="ht">
      <formula>NOT(ISERROR(SEARCH("ht",H2)))</formula>
    </cfRule>
    <cfRule type="containsText" dxfId="58" priority="59" operator="containsText" text="mt">
      <formula>NOT(ISERROR(SEARCH("mt",H2)))</formula>
    </cfRule>
    <cfRule type="containsText" dxfId="57" priority="60" operator="containsText" text="wt">
      <formula>NOT(ISERROR(SEARCH("wt",H2)))</formula>
    </cfRule>
  </conditionalFormatting>
  <conditionalFormatting sqref="H2:H3 J2:J3 L2:L3 N2:N3 R2:R3">
    <cfRule type="cellIs" dxfId="56" priority="57" operator="equal">
      <formula>"?"</formula>
    </cfRule>
  </conditionalFormatting>
  <conditionalFormatting sqref="P3">
    <cfRule type="containsText" dxfId="55" priority="54" operator="containsText" text="ht">
      <formula>NOT(ISERROR(SEARCH("ht",P3)))</formula>
    </cfRule>
    <cfRule type="containsText" dxfId="54" priority="55" operator="containsText" text="mt">
      <formula>NOT(ISERROR(SEARCH("mt",P3)))</formula>
    </cfRule>
    <cfRule type="containsText" dxfId="53" priority="56" operator="containsText" text="wt">
      <formula>NOT(ISERROR(SEARCH("wt",P3)))</formula>
    </cfRule>
  </conditionalFormatting>
  <conditionalFormatting sqref="P3">
    <cfRule type="cellIs" dxfId="52" priority="53" operator="equal">
      <formula>"?"</formula>
    </cfRule>
  </conditionalFormatting>
  <conditionalFormatting sqref="P2">
    <cfRule type="containsText" dxfId="51" priority="50" operator="containsText" text="ht">
      <formula>NOT(ISERROR(SEARCH("ht",P2)))</formula>
    </cfRule>
    <cfRule type="containsText" dxfId="50" priority="51" operator="containsText" text="mt">
      <formula>NOT(ISERROR(SEARCH("mt",P2)))</formula>
    </cfRule>
    <cfRule type="containsText" dxfId="49" priority="52" operator="containsText" text="wt">
      <formula>NOT(ISERROR(SEARCH("wt",P2)))</formula>
    </cfRule>
  </conditionalFormatting>
  <conditionalFormatting sqref="P2">
    <cfRule type="cellIs" dxfId="48" priority="49" operator="equal">
      <formula>"?"</formula>
    </cfRule>
  </conditionalFormatting>
  <conditionalFormatting sqref="C4:C43 E4:E43 G4:G43 I4:I43 K4:K43 M4:M43 O4:O43 Q4:Q43 AA4:AA43 AC4:AC43 AE4:AE43 AG4:AG43 AI4:AI43 AK4:AK43 AM4:AM43 AO4:AO43 AQ4:AQ43 AS4:AS43 AU4:AU43 AW4:AW43 AY4:AY43 BA4:BA43 BC4:BC43 BE4:BE43 BG4:BG43 BI4:BI43">
    <cfRule type="containsText" dxfId="47" priority="46" operator="containsText" text="ht">
      <formula>NOT(ISERROR(SEARCH("ht",C4)))</formula>
    </cfRule>
    <cfRule type="containsText" dxfId="46" priority="47" operator="containsText" text="mt">
      <formula>NOT(ISERROR(SEARCH("mt",C4)))</formula>
    </cfRule>
    <cfRule type="containsText" dxfId="45" priority="48" operator="containsText" text="wt">
      <formula>NOT(ISERROR(SEARCH("wt",C4)))</formula>
    </cfRule>
  </conditionalFormatting>
  <conditionalFormatting sqref="C4:C43 E4:E43 G4:G43 I4:I43 K4:K43 M4:M43 O4:O43 Q4:Q43 AA4:AA43 AC4:AC43 AE4:AE43 AG4:AG43 AI4:AI43 AK4:AK43 AM4:AM43 AO4:AO43 AQ4:AQ43 AS4:AS43 AU4:AU43 AW4:AW43 AY4:AY43 BA4:BA43 BC4:BC43 BE4:BE43 BG4:BG43 BI4:BI43">
    <cfRule type="cellIs" dxfId="44" priority="45" operator="equal">
      <formula>"?"</formula>
    </cfRule>
  </conditionalFormatting>
  <conditionalFormatting sqref="D4:D43 F4:F43 H4:H43 J4:J43 L4:L43 N4:N43 P4:P43 R4:R43 AB4:AB43 AD4:AD43 AF4:AF43 AH4:AH43 AJ4:AJ43 AL4:AL43 AN4:AN43 AP4:AP43 AR4:AR43 AT4:AT43 AV4:AV43 AX4:AX43 AZ4:AZ43 BB4:BB43 BD4:BD43 BF4:BF43 BH4:BH43">
    <cfRule type="containsText" dxfId="43" priority="42" operator="containsText" text="ht">
      <formula>NOT(ISERROR(SEARCH("ht",D4)))</formula>
    </cfRule>
    <cfRule type="containsText" dxfId="42" priority="43" operator="containsText" text="mt">
      <formula>NOT(ISERROR(SEARCH("mt",D4)))</formula>
    </cfRule>
    <cfRule type="containsText" dxfId="41" priority="44" operator="containsText" text="wt">
      <formula>NOT(ISERROR(SEARCH("wt",D4)))</formula>
    </cfRule>
  </conditionalFormatting>
  <conditionalFormatting sqref="D4:D43 F4:F43 H4:H43 J4:J43 L4:L43 N4:N43 P4:P43 R4:R43 AB4:AB43 AD4:AD43 AF4:AF43 AH4:AH43 AJ4:AJ43 AL4:AL43 AN4:AN43 AP4:AP43 AR4:AR43 AT4:AT43 AV4:AV43 AX4:AX43 AZ4:AZ43 BB4:BB43 BD4:BD43 BF4:BF43 BH4:BH43">
    <cfRule type="cellIs" dxfId="40" priority="41" operator="equal">
      <formula>"?"</formula>
    </cfRule>
  </conditionalFormatting>
  <conditionalFormatting sqref="AA2:AA3 AC2:AC3 AE2:AE3 AG2:AG3 AI2:AI3 AK2:AK3 AM2:AM3 AO2:AO3 AQ2:AQ3 AS2:AS3 AU2:AU3 AW2:AW3 AY2:AY3 BA2:BA3 BC2:BC3 BE2:BE3 BG2:BG3 BI2:BI3">
    <cfRule type="containsText" dxfId="39" priority="38" operator="containsText" text="ht">
      <formula>NOT(ISERROR(SEARCH("ht",AA2)))</formula>
    </cfRule>
    <cfRule type="containsText" dxfId="38" priority="39" operator="containsText" text="mt">
      <formula>NOT(ISERROR(SEARCH("mt",AA2)))</formula>
    </cfRule>
    <cfRule type="containsText" dxfId="37" priority="40" operator="containsText" text="wt">
      <formula>NOT(ISERROR(SEARCH("wt",AA2)))</formula>
    </cfRule>
  </conditionalFormatting>
  <conditionalFormatting sqref="AA2:AA3 AC2:AC3 AE2:AE3 AG2:AG3 AI2:AI3 AK2:AK3 AM2:AM3 AO2:AO3 AQ2:AQ3 AS2:AS3 AU2:AU3 AW2:AW3 AY2:AY3 BA2:BA3 BC2:BC3 BE2:BE3 BG2:BG3 BI2:BI3">
    <cfRule type="cellIs" dxfId="36" priority="37" operator="equal">
      <formula>"?"</formula>
    </cfRule>
  </conditionalFormatting>
  <conditionalFormatting sqref="AB2:AB3 AD2:AD3 AF2:AF3 AH2:AH3 AJ2:AJ3 AL2:AL3 AN2:AN3 AP2:AP3 AR2:AR3 AT2:AT3 AV2:AV3 AX2:AX3 AZ2:AZ3 BB2:BB3 BD2:BD3 BF2:BF3 BH2:BH3 BJ2:BJ3">
    <cfRule type="containsText" dxfId="35" priority="34" operator="containsText" text="ht">
      <formula>NOT(ISERROR(SEARCH("ht",AB2)))</formula>
    </cfRule>
    <cfRule type="containsText" dxfId="34" priority="35" operator="containsText" text="mt">
      <formula>NOT(ISERROR(SEARCH("mt",AB2)))</formula>
    </cfRule>
    <cfRule type="containsText" dxfId="33" priority="36" operator="containsText" text="wt">
      <formula>NOT(ISERROR(SEARCH("wt",AB2)))</formula>
    </cfRule>
  </conditionalFormatting>
  <conditionalFormatting sqref="AB2:AB3 AD2:AD3 AF2:AF3 AH2:AH3 AJ2:AJ3 AL2:AL3 AN2:AN3 AP2:AP3 AR2:AR3 AT2:AT3 AV2:AV3 AX2:AX3 AZ2:AZ3 BB2:BB3 BD2:BD3 BF2:BF3 BH2:BH3 BJ2:BJ3">
    <cfRule type="cellIs" dxfId="32" priority="33" operator="equal">
      <formula>"?"</formula>
    </cfRule>
  </conditionalFormatting>
  <conditionalFormatting sqref="S2:S3">
    <cfRule type="containsText" dxfId="31" priority="30" operator="containsText" text="ht">
      <formula>NOT(ISERROR(SEARCH("ht",S2)))</formula>
    </cfRule>
    <cfRule type="containsText" dxfId="30" priority="31" operator="containsText" text="mt">
      <formula>NOT(ISERROR(SEARCH("mt",S2)))</formula>
    </cfRule>
    <cfRule type="containsText" dxfId="29" priority="32" operator="containsText" text="wt">
      <formula>NOT(ISERROR(SEARCH("wt",S2)))</formula>
    </cfRule>
  </conditionalFormatting>
  <conditionalFormatting sqref="S2:S3">
    <cfRule type="cellIs" dxfId="28" priority="29" operator="equal">
      <formula>"?"</formula>
    </cfRule>
  </conditionalFormatting>
  <conditionalFormatting sqref="T2:T3">
    <cfRule type="containsText" dxfId="27" priority="26" operator="containsText" text="ht">
      <formula>NOT(ISERROR(SEARCH("ht",T2)))</formula>
    </cfRule>
    <cfRule type="containsText" dxfId="26" priority="27" operator="containsText" text="mt">
      <formula>NOT(ISERROR(SEARCH("mt",T2)))</formula>
    </cfRule>
    <cfRule type="containsText" dxfId="25" priority="28" operator="containsText" text="wt">
      <formula>NOT(ISERROR(SEARCH("wt",T2)))</formula>
    </cfRule>
  </conditionalFormatting>
  <conditionalFormatting sqref="T2:T3">
    <cfRule type="cellIs" dxfId="24" priority="25" operator="equal">
      <formula>"?"</formula>
    </cfRule>
  </conditionalFormatting>
  <conditionalFormatting sqref="S4:S43">
    <cfRule type="containsText" dxfId="23" priority="22" operator="containsText" text="ht">
      <formula>NOT(ISERROR(SEARCH("ht",S4)))</formula>
    </cfRule>
    <cfRule type="containsText" dxfId="22" priority="23" operator="containsText" text="mt">
      <formula>NOT(ISERROR(SEARCH("mt",S4)))</formula>
    </cfRule>
    <cfRule type="containsText" dxfId="21" priority="24" operator="containsText" text="wt">
      <formula>NOT(ISERROR(SEARCH("wt",S4)))</formula>
    </cfRule>
  </conditionalFormatting>
  <conditionalFormatting sqref="S4:S43">
    <cfRule type="cellIs" dxfId="20" priority="21" operator="equal">
      <formula>"?"</formula>
    </cfRule>
  </conditionalFormatting>
  <conditionalFormatting sqref="T4:T43">
    <cfRule type="containsText" dxfId="19" priority="18" operator="containsText" text="ht">
      <formula>NOT(ISERROR(SEARCH("ht",T4)))</formula>
    </cfRule>
    <cfRule type="containsText" dxfId="18" priority="19" operator="containsText" text="mt">
      <formula>NOT(ISERROR(SEARCH("mt",T4)))</formula>
    </cfRule>
    <cfRule type="containsText" dxfId="17" priority="20" operator="containsText" text="wt">
      <formula>NOT(ISERROR(SEARCH("wt",T4)))</formula>
    </cfRule>
  </conditionalFormatting>
  <conditionalFormatting sqref="T4:T43">
    <cfRule type="cellIs" dxfId="16" priority="17" operator="equal">
      <formula>"?"</formula>
    </cfRule>
  </conditionalFormatting>
  <conditionalFormatting sqref="U2:U3 U43 W2:W3 W43 Y2:Y3 Y43">
    <cfRule type="containsText" dxfId="15" priority="14" operator="containsText" text="ht">
      <formula>NOT(ISERROR(SEARCH("ht",U2)))</formula>
    </cfRule>
    <cfRule type="containsText" dxfId="14" priority="15" operator="containsText" text="mt">
      <formula>NOT(ISERROR(SEARCH("mt",U2)))</formula>
    </cfRule>
    <cfRule type="containsText" dxfId="13" priority="16" operator="containsText" text="wt">
      <formula>NOT(ISERROR(SEARCH("wt",U2)))</formula>
    </cfRule>
  </conditionalFormatting>
  <conditionalFormatting sqref="U2:U3 U43 W2:W3 W43 Y2:Y3 Y43">
    <cfRule type="cellIs" dxfId="12" priority="13" operator="equal">
      <formula>"?"</formula>
    </cfRule>
  </conditionalFormatting>
  <conditionalFormatting sqref="V2:V3 V43 X2:X3 X43 Z2:Z3 Z43">
    <cfRule type="containsText" dxfId="11" priority="10" operator="containsText" text="ht">
      <formula>NOT(ISERROR(SEARCH("ht",V2)))</formula>
    </cfRule>
    <cfRule type="containsText" dxfId="10" priority="11" operator="containsText" text="mt">
      <formula>NOT(ISERROR(SEARCH("mt",V2)))</formula>
    </cfRule>
    <cfRule type="containsText" dxfId="9" priority="12" operator="containsText" text="wt">
      <formula>NOT(ISERROR(SEARCH("wt",V2)))</formula>
    </cfRule>
  </conditionalFormatting>
  <conditionalFormatting sqref="V2:V3 V43 X2:X3 X43 Z2:Z3 Z43">
    <cfRule type="cellIs" dxfId="8" priority="9" operator="equal">
      <formula>"?"</formula>
    </cfRule>
  </conditionalFormatting>
  <conditionalFormatting sqref="U4:U42 W4:W42 Y4:Y42">
    <cfRule type="containsText" dxfId="7" priority="6" operator="containsText" text="ht">
      <formula>NOT(ISERROR(SEARCH("ht",U4)))</formula>
    </cfRule>
    <cfRule type="containsText" dxfId="6" priority="7" operator="containsText" text="mt">
      <formula>NOT(ISERROR(SEARCH("mt",U4)))</formula>
    </cfRule>
    <cfRule type="containsText" dxfId="5" priority="8" operator="containsText" text="wt">
      <formula>NOT(ISERROR(SEARCH("wt",U4)))</formula>
    </cfRule>
  </conditionalFormatting>
  <conditionalFormatting sqref="U4:U42 W4:W42 Y4:Y42">
    <cfRule type="cellIs" dxfId="4" priority="5" operator="equal">
      <formula>"?"</formula>
    </cfRule>
  </conditionalFormatting>
  <conditionalFormatting sqref="V4:V42 X4:X42 Z4:Z42">
    <cfRule type="containsText" dxfId="3" priority="2" operator="containsText" text="ht">
      <formula>NOT(ISERROR(SEARCH("ht",V4)))</formula>
    </cfRule>
    <cfRule type="containsText" dxfId="2" priority="3" operator="containsText" text="mt">
      <formula>NOT(ISERROR(SEARCH("mt",V4)))</formula>
    </cfRule>
    <cfRule type="containsText" dxfId="1" priority="4" operator="containsText" text="wt">
      <formula>NOT(ISERROR(SEARCH("wt",V4)))</formula>
    </cfRule>
  </conditionalFormatting>
  <conditionalFormatting sqref="V4:V42 X4:X42 Z4:Z42">
    <cfRule type="cellIs" dxfId="0" priority="1" operator="equal">
      <formula>"?"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LS09</vt:lpstr>
      <vt:lpstr>Formatx4x1gt</vt:lpstr>
      <vt:lpstr>Formatx4x2gt</vt:lpstr>
      <vt:lpstr>All</vt:lpstr>
      <vt:lpstr>RAW_All</vt:lpstr>
      <vt:lpstr>All_Genotype</vt:lpstr>
    </vt:vector>
  </TitlesOfParts>
  <Company>The University of Sheffield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Sanchez Posada</dc:creator>
  <cp:lastModifiedBy>Juliana Sanchez Posada</cp:lastModifiedBy>
  <dcterms:created xsi:type="dcterms:W3CDTF">2021-01-11T11:46:50Z</dcterms:created>
  <dcterms:modified xsi:type="dcterms:W3CDTF">2021-01-11T11:58:06Z</dcterms:modified>
</cp:coreProperties>
</file>